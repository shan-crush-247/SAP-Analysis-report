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S_PROJECTS\SAP Analysis report\Core File\"/>
    </mc:Choice>
  </mc:AlternateContent>
  <xr:revisionPtr revIDLastSave="0" documentId="13_ncr:1_{728DD5C3-923B-4360-9C3D-A5D56A84148A}" xr6:coauthVersionLast="47" xr6:coauthVersionMax="47" xr10:uidLastSave="{00000000-0000-0000-0000-000000000000}"/>
  <bookViews>
    <workbookView xWindow="-108" yWindow="-108" windowWidth="23256" windowHeight="12456" activeTab="2" xr2:uid="{A8D70CEA-3CA9-4F29-83CE-6E4B5CDE29D4}"/>
  </bookViews>
  <sheets>
    <sheet name="Replication Status" sheetId="1" r:id="rId1"/>
    <sheet name="Used Space Growth" sheetId="3" r:id="rId2"/>
    <sheet name="DB Size" sheetId="2" r:id="rId3"/>
  </sheets>
  <definedNames>
    <definedName name="_xlnm._FilterDatabase" localSheetId="2" hidden="1">'DB Size'!$A$2:$BI$26</definedName>
    <definedName name="_xlnm._FilterDatabase" localSheetId="1" hidden="1">'Used Space Growth'!$A$2:$BS$40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C26" i="2" l="1"/>
  <c r="OC25" i="2"/>
  <c r="OC24" i="2"/>
  <c r="OC23" i="2"/>
  <c r="OC22" i="2"/>
  <c r="OC21" i="2"/>
  <c r="OC20" i="2"/>
  <c r="OC19" i="2"/>
  <c r="OC18" i="2"/>
  <c r="OC17" i="2"/>
  <c r="OC16" i="2"/>
  <c r="OC15" i="2"/>
  <c r="OC14" i="2"/>
  <c r="OC13" i="2"/>
  <c r="OC12" i="2"/>
  <c r="OC11" i="2"/>
  <c r="OC10" i="2"/>
  <c r="OC9" i="2"/>
  <c r="OC8" i="2"/>
  <c r="OC7" i="2"/>
  <c r="OC6" i="2"/>
  <c r="NQ26" i="2"/>
  <c r="NU26" i="2"/>
  <c r="NU25" i="2"/>
  <c r="NU24" i="2"/>
  <c r="NU23" i="2"/>
  <c r="NU22" i="2"/>
  <c r="NU21" i="2"/>
  <c r="NU20" i="2"/>
  <c r="NU19" i="2"/>
  <c r="NU18" i="2"/>
  <c r="NU17" i="2"/>
  <c r="NU16" i="2"/>
  <c r="NU15" i="2"/>
  <c r="NU14" i="2"/>
  <c r="NU13" i="2"/>
  <c r="NU12" i="2"/>
  <c r="NU11" i="2"/>
  <c r="NU10" i="2"/>
  <c r="NU9" i="2"/>
  <c r="NU8" i="2"/>
  <c r="NU7" i="2"/>
  <c r="NU6" i="2"/>
  <c r="NQ7" i="2"/>
  <c r="NQ8" i="2"/>
  <c r="NQ9" i="2"/>
  <c r="NQ10" i="2"/>
  <c r="NQ11" i="2"/>
  <c r="NQ12" i="2"/>
  <c r="NQ13" i="2"/>
  <c r="NQ14" i="2"/>
  <c r="NQ15" i="2"/>
  <c r="NQ16" i="2"/>
  <c r="NQ17" i="2"/>
  <c r="NQ18" i="2"/>
  <c r="NQ19" i="2"/>
  <c r="NQ20" i="2"/>
  <c r="NQ21" i="2"/>
  <c r="NQ22" i="2"/>
  <c r="NQ23" i="2"/>
  <c r="NQ24" i="2"/>
  <c r="NQ25" i="2"/>
  <c r="NQ27" i="2"/>
  <c r="NQ6" i="2"/>
  <c r="MW26" i="2"/>
  <c r="MW25" i="2"/>
  <c r="MW24" i="2"/>
  <c r="MW23" i="2"/>
  <c r="MW21" i="2"/>
  <c r="MW20" i="2"/>
  <c r="MW19" i="2"/>
  <c r="MW18" i="2"/>
  <c r="MW17" i="2"/>
  <c r="MW16" i="2"/>
  <c r="MW15" i="2"/>
  <c r="MW14" i="2"/>
  <c r="MW13" i="2"/>
  <c r="MW12" i="2"/>
  <c r="MW11" i="2"/>
  <c r="MW10" i="2"/>
  <c r="MW9" i="2"/>
  <c r="MW8" i="2"/>
  <c r="MW7" i="2"/>
  <c r="MW6" i="2"/>
  <c r="MS26" i="2"/>
  <c r="MS25" i="2"/>
  <c r="MS24" i="2"/>
  <c r="MS23" i="2"/>
  <c r="MS21" i="2"/>
  <c r="MS20" i="2"/>
  <c r="MS19" i="2"/>
  <c r="MS18" i="2"/>
  <c r="MS17" i="2"/>
  <c r="MS16" i="2"/>
  <c r="MS15" i="2"/>
  <c r="MS14" i="2"/>
  <c r="MS13" i="2"/>
  <c r="MS12" i="2"/>
  <c r="MS11" i="2"/>
  <c r="MS10" i="2"/>
  <c r="MS9" i="2"/>
  <c r="MS8" i="2"/>
  <c r="MS7" i="2"/>
  <c r="MS6" i="2"/>
  <c r="MO26" i="2"/>
  <c r="MO25" i="2"/>
  <c r="MO24" i="2"/>
  <c r="MO23" i="2"/>
  <c r="MO21" i="2"/>
  <c r="MO20" i="2"/>
  <c r="MO19" i="2"/>
  <c r="MO18" i="2"/>
  <c r="MO17" i="2"/>
  <c r="MO16" i="2"/>
  <c r="MO15" i="2"/>
  <c r="MO14" i="2"/>
  <c r="MO13" i="2"/>
  <c r="MO12" i="2"/>
  <c r="MO11" i="2"/>
  <c r="MO10" i="2"/>
  <c r="MO9" i="2"/>
  <c r="MO8" i="2"/>
  <c r="MO7" i="2"/>
  <c r="MO6" i="2"/>
  <c r="MK26" i="2"/>
  <c r="MK25" i="2"/>
  <c r="MK24" i="2"/>
  <c r="MK23" i="2"/>
  <c r="MK21" i="2"/>
  <c r="MK20" i="2"/>
  <c r="MK19" i="2"/>
  <c r="MK18" i="2"/>
  <c r="MK17" i="2"/>
  <c r="MK16" i="2"/>
  <c r="MK15" i="2"/>
  <c r="MK14" i="2"/>
  <c r="MK13" i="2"/>
  <c r="MK12" i="2"/>
  <c r="MK11" i="2"/>
  <c r="MK10" i="2"/>
  <c r="MK9" i="2"/>
  <c r="MK8" i="2"/>
  <c r="MK7" i="2"/>
  <c r="MK6" i="2"/>
  <c r="MG26" i="2"/>
  <c r="MG25" i="2"/>
  <c r="MG24" i="2"/>
  <c r="MG23" i="2"/>
  <c r="MG21" i="2"/>
  <c r="MG20" i="2"/>
  <c r="MG19" i="2"/>
  <c r="MG18" i="2"/>
  <c r="MG17" i="2"/>
  <c r="MG16" i="2"/>
  <c r="MG15" i="2"/>
  <c r="MG14" i="2"/>
  <c r="MG13" i="2"/>
  <c r="MG12" i="2"/>
  <c r="MG11" i="2"/>
  <c r="MG10" i="2"/>
  <c r="MG9" i="2"/>
  <c r="MG8" i="2"/>
  <c r="MG7" i="2"/>
  <c r="MG6" i="2"/>
  <c r="LY26" i="2"/>
  <c r="LY25" i="2"/>
  <c r="LY24" i="2"/>
  <c r="LY23" i="2"/>
  <c r="LY21" i="2"/>
  <c r="LY20" i="2"/>
  <c r="LY19" i="2"/>
  <c r="LY18" i="2"/>
  <c r="LY17" i="2"/>
  <c r="LY16" i="2"/>
  <c r="LY15" i="2"/>
  <c r="LY14" i="2"/>
  <c r="LY13" i="2"/>
  <c r="LY12" i="2"/>
  <c r="LY11" i="2"/>
  <c r="LY10" i="2"/>
  <c r="LY9" i="2"/>
  <c r="LY8" i="2"/>
  <c r="LY7" i="2"/>
  <c r="LY6" i="2"/>
  <c r="JS6" i="2"/>
  <c r="LI26" i="2"/>
  <c r="LI20" i="2"/>
  <c r="LI19" i="2"/>
  <c r="LI16" i="2"/>
  <c r="LI15" i="2"/>
  <c r="LI18" i="2"/>
  <c r="LI24" i="2"/>
  <c r="LI13" i="2"/>
  <c r="LI11" i="2"/>
  <c r="LI25" i="2"/>
  <c r="LI23" i="2"/>
  <c r="LI21" i="2"/>
  <c r="LI17" i="2"/>
  <c r="LI14" i="2"/>
  <c r="LI12" i="2"/>
  <c r="LI10" i="2"/>
  <c r="LI9" i="2"/>
  <c r="LI8" i="2"/>
  <c r="LI7" i="2"/>
  <c r="LI6" i="2"/>
  <c r="KW26" i="2"/>
  <c r="KW25" i="2"/>
  <c r="KW24" i="2"/>
  <c r="KW23" i="2"/>
  <c r="KW20" i="2"/>
  <c r="KW19" i="2"/>
  <c r="KW18" i="2"/>
  <c r="KW17" i="2"/>
  <c r="KW16" i="2"/>
  <c r="KW15" i="2"/>
  <c r="KW14" i="2"/>
  <c r="KW13" i="2"/>
  <c r="KW11" i="2"/>
  <c r="KW10" i="2"/>
  <c r="KW9" i="2"/>
  <c r="KW8" i="2"/>
  <c r="KW7" i="2"/>
  <c r="KW6" i="2"/>
  <c r="KR26" i="2"/>
  <c r="KR25" i="2"/>
  <c r="KR24" i="2"/>
  <c r="KR23" i="2"/>
  <c r="KR20" i="2"/>
  <c r="KR19" i="2"/>
  <c r="KR18" i="2"/>
  <c r="KR17" i="2"/>
  <c r="KR16" i="2"/>
  <c r="KR15" i="2"/>
  <c r="KR14" i="2"/>
  <c r="KR13" i="2"/>
  <c r="KR11" i="2"/>
  <c r="KR10" i="2"/>
  <c r="KR9" i="2"/>
  <c r="KR8" i="2"/>
  <c r="KR7" i="2"/>
  <c r="KR6" i="2"/>
  <c r="KN26" i="2"/>
  <c r="KN25" i="2"/>
  <c r="KN24" i="2"/>
  <c r="KN23" i="2"/>
  <c r="KN20" i="2"/>
  <c r="KN19" i="2"/>
  <c r="KN18" i="2"/>
  <c r="KN17" i="2"/>
  <c r="KN16" i="2"/>
  <c r="KN15" i="2"/>
  <c r="KN14" i="2"/>
  <c r="KN13" i="2"/>
  <c r="KN11" i="2"/>
  <c r="KN10" i="2"/>
  <c r="KN9" i="2"/>
  <c r="KN8" i="2"/>
  <c r="KN7" i="2"/>
  <c r="KN6" i="2"/>
  <c r="KJ26" i="2"/>
  <c r="KJ25" i="2"/>
  <c r="KJ24" i="2"/>
  <c r="KJ23" i="2"/>
  <c r="KJ20" i="2"/>
  <c r="KJ19" i="2"/>
  <c r="KJ18" i="2"/>
  <c r="KJ17" i="2"/>
  <c r="KJ16" i="2"/>
  <c r="KJ15" i="2"/>
  <c r="KJ14" i="2"/>
  <c r="KJ13" i="2"/>
  <c r="KJ11" i="2"/>
  <c r="KJ10" i="2"/>
  <c r="KJ9" i="2"/>
  <c r="KJ8" i="2"/>
  <c r="KJ7" i="2"/>
  <c r="KJ6" i="2"/>
  <c r="KF19" i="2"/>
  <c r="KF26" i="2"/>
  <c r="KF25" i="2"/>
  <c r="KF24" i="2"/>
  <c r="KF23" i="2"/>
  <c r="KF20" i="2"/>
  <c r="KF18" i="2"/>
  <c r="KF17" i="2"/>
  <c r="KF16" i="2"/>
  <c r="KF15" i="2"/>
  <c r="KF14" i="2"/>
  <c r="KF13" i="2"/>
  <c r="KF11" i="2"/>
  <c r="KF10" i="2"/>
  <c r="KF9" i="2"/>
  <c r="KF8" i="2"/>
  <c r="KF7" i="2"/>
  <c r="KF6" i="2"/>
  <c r="KB26" i="2"/>
  <c r="KC26" i="2" s="1"/>
  <c r="KB25" i="2"/>
  <c r="KC25" i="2" s="1"/>
  <c r="KB24" i="2"/>
  <c r="KC24" i="2" s="1"/>
  <c r="KB23" i="2"/>
  <c r="KC23" i="2" s="1"/>
  <c r="KB20" i="2"/>
  <c r="KC20" i="2" s="1"/>
  <c r="KB19" i="2"/>
  <c r="KC19" i="2" s="1"/>
  <c r="KB18" i="2"/>
  <c r="KC18" i="2" s="1"/>
  <c r="KB17" i="2"/>
  <c r="KC17" i="2" s="1"/>
  <c r="KB16" i="2"/>
  <c r="KC16" i="2" s="1"/>
  <c r="KB15" i="2"/>
  <c r="KC15" i="2" s="1"/>
  <c r="KB14" i="2"/>
  <c r="KC14" i="2" s="1"/>
  <c r="KB13" i="2"/>
  <c r="KB11" i="2"/>
  <c r="KC11" i="2" s="1"/>
  <c r="KB10" i="2"/>
  <c r="KC10" i="2" s="1"/>
  <c r="KB9" i="2"/>
  <c r="KC9" i="2" s="1"/>
  <c r="KB8" i="2"/>
  <c r="KC8" i="2" s="1"/>
  <c r="KB7" i="2"/>
  <c r="KC7" i="2" s="1"/>
  <c r="KB6" i="2"/>
  <c r="KC6" i="2" s="1"/>
  <c r="JP26" i="2"/>
  <c r="JP25" i="2"/>
  <c r="JP24" i="2"/>
  <c r="JP23" i="2"/>
  <c r="JP20" i="2"/>
  <c r="JP19" i="2"/>
  <c r="JP18" i="2"/>
  <c r="JP17" i="2"/>
  <c r="JP16" i="2"/>
  <c r="JP15" i="2"/>
  <c r="JP14" i="2"/>
  <c r="JP13" i="2"/>
  <c r="JP11" i="2"/>
  <c r="JP10" i="2"/>
  <c r="JP9" i="2"/>
  <c r="JP8" i="2"/>
  <c r="JP7" i="2"/>
  <c r="JP6" i="2"/>
  <c r="JL26" i="2"/>
  <c r="JL25" i="2"/>
  <c r="JL24" i="2"/>
  <c r="JL23" i="2"/>
  <c r="JL20" i="2"/>
  <c r="JL19" i="2"/>
  <c r="JL18" i="2"/>
  <c r="JL17" i="2"/>
  <c r="JL16" i="2"/>
  <c r="JL15" i="2"/>
  <c r="JL14" i="2"/>
  <c r="JL13" i="2"/>
  <c r="JL11" i="2"/>
  <c r="JL10" i="2"/>
  <c r="JL9" i="2"/>
  <c r="JL8" i="2"/>
  <c r="JL7" i="2"/>
  <c r="JL6" i="2"/>
  <c r="JH26" i="2"/>
  <c r="JH25" i="2"/>
  <c r="JH24" i="2"/>
  <c r="JH23" i="2"/>
  <c r="JH20" i="2"/>
  <c r="JH19" i="2"/>
  <c r="JH18" i="2"/>
  <c r="JH17" i="2"/>
  <c r="JH16" i="2"/>
  <c r="JH15" i="2"/>
  <c r="JH14" i="2"/>
  <c r="JH13" i="2"/>
  <c r="JH11" i="2"/>
  <c r="JH10" i="2"/>
  <c r="JH9" i="2"/>
  <c r="JH8" i="2"/>
  <c r="JH7" i="2"/>
  <c r="JH6" i="2"/>
  <c r="JD26" i="2"/>
  <c r="JD25" i="2"/>
  <c r="JD24" i="2"/>
  <c r="JD23" i="2"/>
  <c r="JD20" i="2"/>
  <c r="JD19" i="2"/>
  <c r="JD18" i="2"/>
  <c r="JD17" i="2"/>
  <c r="JD16" i="2"/>
  <c r="JD15" i="2"/>
  <c r="JD14" i="2"/>
  <c r="JD13" i="2"/>
  <c r="JD11" i="2"/>
  <c r="JD10" i="2"/>
  <c r="JD9" i="2"/>
  <c r="JD8" i="2"/>
  <c r="JD7" i="2"/>
  <c r="JD6" i="2"/>
  <c r="IZ26" i="2"/>
  <c r="IZ25" i="2"/>
  <c r="IZ24" i="2"/>
  <c r="IZ23" i="2"/>
  <c r="IZ20" i="2"/>
  <c r="IZ19" i="2"/>
  <c r="IZ18" i="2"/>
  <c r="IZ17" i="2"/>
  <c r="IZ16" i="2"/>
  <c r="IZ15" i="2"/>
  <c r="IZ14" i="2"/>
  <c r="IZ13" i="2"/>
  <c r="IZ11" i="2"/>
  <c r="IZ10" i="2"/>
  <c r="IZ9" i="2"/>
  <c r="IZ8" i="2"/>
  <c r="IZ7" i="2"/>
  <c r="IZ6" i="2"/>
  <c r="IN26" i="2"/>
  <c r="IN25" i="2"/>
  <c r="IN24" i="2"/>
  <c r="IN23" i="2"/>
  <c r="IN20" i="2"/>
  <c r="IN19" i="2"/>
  <c r="IN18" i="2"/>
  <c r="IN17" i="2"/>
  <c r="IN16" i="2"/>
  <c r="IN15" i="2"/>
  <c r="IN14" i="2"/>
  <c r="IN13" i="2"/>
  <c r="IN11" i="2"/>
  <c r="IN10" i="2"/>
  <c r="IN9" i="2"/>
  <c r="IN8" i="2"/>
  <c r="IN7" i="2"/>
  <c r="IN6" i="2"/>
  <c r="IJ26" i="2"/>
  <c r="IJ25" i="2"/>
  <c r="IJ24" i="2"/>
  <c r="IJ23" i="2"/>
  <c r="IJ20" i="2"/>
  <c r="IJ19" i="2"/>
  <c r="IJ18" i="2"/>
  <c r="IJ17" i="2"/>
  <c r="IJ16" i="2"/>
  <c r="IJ15" i="2"/>
  <c r="IJ14" i="2"/>
  <c r="IJ13" i="2"/>
  <c r="IJ11" i="2"/>
  <c r="IJ10" i="2"/>
  <c r="IJ9" i="2"/>
  <c r="IJ8" i="2"/>
  <c r="IJ7" i="2"/>
  <c r="IJ6" i="2"/>
  <c r="IF26" i="2"/>
  <c r="IF25" i="2"/>
  <c r="IF24" i="2"/>
  <c r="IF23" i="2"/>
  <c r="IF20" i="2"/>
  <c r="IF19" i="2"/>
  <c r="IF18" i="2"/>
  <c r="IF17" i="2"/>
  <c r="IF16" i="2"/>
  <c r="IF15" i="2"/>
  <c r="IF14" i="2"/>
  <c r="IF13" i="2"/>
  <c r="IF11" i="2"/>
  <c r="IF10" i="2"/>
  <c r="IF9" i="2"/>
  <c r="IF8" i="2"/>
  <c r="IF7" i="2"/>
  <c r="IF6" i="2"/>
  <c r="FN34" i="3"/>
  <c r="FL34" i="3"/>
  <c r="IB26" i="2"/>
  <c r="IB25" i="2"/>
  <c r="IB24" i="2"/>
  <c r="IB23" i="2"/>
  <c r="IB20" i="2"/>
  <c r="IB19" i="2"/>
  <c r="IB18" i="2"/>
  <c r="IB17" i="2"/>
  <c r="IB16" i="2"/>
  <c r="IB15" i="2"/>
  <c r="IB14" i="2"/>
  <c r="IB13" i="2"/>
  <c r="IB11" i="2"/>
  <c r="IB10" i="2"/>
  <c r="IB9" i="2"/>
  <c r="IB8" i="2"/>
  <c r="IB7" i="2"/>
  <c r="IB6" i="2"/>
  <c r="HX26" i="2"/>
  <c r="HX25" i="2"/>
  <c r="HX24" i="2"/>
  <c r="HX23" i="2"/>
  <c r="HX20" i="2"/>
  <c r="HX19" i="2"/>
  <c r="HX18" i="2"/>
  <c r="HX17" i="2"/>
  <c r="HX16" i="2"/>
  <c r="HX15" i="2"/>
  <c r="HX14" i="2"/>
  <c r="HX13" i="2"/>
  <c r="HX11" i="2"/>
  <c r="HX10" i="2"/>
  <c r="HX9" i="2"/>
  <c r="HX8" i="2"/>
  <c r="HX7" i="2"/>
  <c r="HX6" i="2"/>
  <c r="FJ34" i="3"/>
  <c r="FF34" i="3"/>
  <c r="FF7" i="3"/>
  <c r="HP26" i="2"/>
  <c r="HP25" i="2"/>
  <c r="HP24" i="2"/>
  <c r="HP23" i="2"/>
  <c r="HP20" i="2"/>
  <c r="HP19" i="2"/>
  <c r="HP18" i="2"/>
  <c r="HP17" i="2"/>
  <c r="HP16" i="2"/>
  <c r="HP15" i="2"/>
  <c r="HP14" i="2"/>
  <c r="HP13" i="2"/>
  <c r="HP11" i="2"/>
  <c r="HP10" i="2"/>
  <c r="HP9" i="2"/>
  <c r="HP8" i="2"/>
  <c r="HP7" i="2"/>
  <c r="HP6" i="2"/>
  <c r="FD34" i="3"/>
  <c r="FD7" i="3"/>
  <c r="HL26" i="2"/>
  <c r="HL25" i="2"/>
  <c r="HL24" i="2"/>
  <c r="HL23" i="2"/>
  <c r="HL20" i="2"/>
  <c r="HL19" i="2"/>
  <c r="HL18" i="2"/>
  <c r="HL17" i="2"/>
  <c r="HL16" i="2"/>
  <c r="HL15" i="2"/>
  <c r="HL14" i="2"/>
  <c r="HL13" i="2"/>
  <c r="HL11" i="2"/>
  <c r="HL10" i="2"/>
  <c r="HL9" i="2"/>
  <c r="HL8" i="2"/>
  <c r="HL7" i="2"/>
  <c r="HL6" i="2"/>
  <c r="FB19" i="3"/>
  <c r="FB34" i="3"/>
  <c r="FC16" i="3"/>
  <c r="FB16" i="3"/>
  <c r="FB12" i="3"/>
  <c r="FC9" i="3"/>
  <c r="FB9" i="3"/>
  <c r="FB7" i="3"/>
  <c r="HH26" i="2"/>
  <c r="HH25" i="2"/>
  <c r="HH24" i="2"/>
  <c r="HH23" i="2"/>
  <c r="HH20" i="2"/>
  <c r="HH19" i="2"/>
  <c r="HH18" i="2"/>
  <c r="HH17" i="2"/>
  <c r="HH16" i="2"/>
  <c r="HH15" i="2"/>
  <c r="HH14" i="2"/>
  <c r="HH13" i="2"/>
  <c r="HH11" i="2"/>
  <c r="HH10" i="2"/>
  <c r="HH9" i="2"/>
  <c r="HH8" i="2"/>
  <c r="HH7" i="2"/>
  <c r="HH6" i="2"/>
  <c r="FA42" i="3"/>
  <c r="EZ42" i="3"/>
  <c r="FA41" i="3"/>
  <c r="EZ41" i="3"/>
  <c r="FA37" i="3"/>
  <c r="EZ37" i="3"/>
  <c r="FA36" i="3"/>
  <c r="FA34" i="3"/>
  <c r="FA32" i="3"/>
  <c r="EZ32" i="3"/>
  <c r="FA26" i="3"/>
  <c r="EZ26" i="3"/>
  <c r="FA25" i="3"/>
  <c r="EZ25" i="3"/>
  <c r="FA16" i="3"/>
  <c r="EZ16" i="3"/>
  <c r="FA21" i="3"/>
  <c r="EZ21" i="3"/>
  <c r="FA20" i="3"/>
  <c r="EZ20" i="3"/>
  <c r="FA33" i="3"/>
  <c r="EZ33" i="3"/>
  <c r="FA18" i="3"/>
  <c r="EZ18" i="3"/>
  <c r="FA13" i="3"/>
  <c r="EZ13" i="3"/>
  <c r="FA19" i="3"/>
  <c r="EZ19" i="3"/>
  <c r="FA12" i="3"/>
  <c r="FA10" i="3"/>
  <c r="FA9" i="3"/>
  <c r="EZ9" i="3"/>
  <c r="FA8" i="3"/>
  <c r="EZ8" i="3"/>
  <c r="FA7" i="3"/>
  <c r="FA6" i="3"/>
  <c r="EZ6" i="3"/>
  <c r="FA5" i="3"/>
  <c r="EZ5" i="3"/>
  <c r="FA40" i="3"/>
  <c r="EZ40" i="3"/>
  <c r="EZ36" i="3"/>
  <c r="FA35" i="3"/>
  <c r="EZ35" i="3"/>
  <c r="EZ34" i="3"/>
  <c r="EZ12" i="3"/>
  <c r="EZ10" i="3"/>
  <c r="EZ7" i="3"/>
  <c r="HD26" i="2"/>
  <c r="HD25" i="2"/>
  <c r="HD24" i="2"/>
  <c r="HD23" i="2"/>
  <c r="HD20" i="2"/>
  <c r="HD19" i="2"/>
  <c r="HD18" i="2"/>
  <c r="HD17" i="2"/>
  <c r="HD16" i="2"/>
  <c r="HD15" i="2"/>
  <c r="HD14" i="2"/>
  <c r="HD13" i="2"/>
  <c r="HD11" i="2"/>
  <c r="HD10" i="2"/>
  <c r="HD9" i="2"/>
  <c r="HD8" i="2"/>
  <c r="HD7" i="2"/>
  <c r="HD6" i="2"/>
  <c r="EY42" i="3"/>
  <c r="EX42" i="3"/>
  <c r="EY41" i="3"/>
  <c r="EX41" i="3"/>
  <c r="EY40" i="3"/>
  <c r="EY37" i="3"/>
  <c r="EX37" i="3"/>
  <c r="EY36" i="3"/>
  <c r="EY34" i="3"/>
  <c r="EY32" i="3"/>
  <c r="EX32" i="3"/>
  <c r="EY26" i="3"/>
  <c r="EX26" i="3"/>
  <c r="EY25" i="3"/>
  <c r="EX25" i="3"/>
  <c r="EY21" i="3"/>
  <c r="EX21" i="3"/>
  <c r="EY20" i="3"/>
  <c r="EX20" i="3"/>
  <c r="EY16" i="3"/>
  <c r="EX16" i="3"/>
  <c r="EY33" i="3"/>
  <c r="EX33" i="3"/>
  <c r="EY18" i="3"/>
  <c r="EX18" i="3"/>
  <c r="EY13" i="3"/>
  <c r="EX13" i="3"/>
  <c r="EY10" i="3"/>
  <c r="EY9" i="3"/>
  <c r="EX9" i="3"/>
  <c r="EY8" i="3"/>
  <c r="EX8" i="3"/>
  <c r="EY7" i="3"/>
  <c r="EY6" i="3"/>
  <c r="EX6" i="3"/>
  <c r="EY5" i="3"/>
  <c r="EX5" i="3"/>
  <c r="EX40" i="3"/>
  <c r="EX36" i="3"/>
  <c r="EY35" i="3"/>
  <c r="EX35" i="3"/>
  <c r="EX34" i="3"/>
  <c r="EY19" i="3"/>
  <c r="EX19" i="3"/>
  <c r="EY12" i="3"/>
  <c r="EX12" i="3"/>
  <c r="EX10" i="3"/>
  <c r="EX7" i="3"/>
  <c r="GZ26" i="2"/>
  <c r="GZ25" i="2"/>
  <c r="GZ24" i="2"/>
  <c r="GZ23" i="2"/>
  <c r="GZ20" i="2"/>
  <c r="GZ19" i="2"/>
  <c r="GZ18" i="2"/>
  <c r="GZ17" i="2"/>
  <c r="GZ16" i="2"/>
  <c r="GZ15" i="2"/>
  <c r="GZ14" i="2"/>
  <c r="GZ13" i="2"/>
  <c r="GZ11" i="2"/>
  <c r="GZ10" i="2"/>
  <c r="GZ9" i="2"/>
  <c r="GZ8" i="2"/>
  <c r="GZ7" i="2"/>
  <c r="GZ6" i="2"/>
  <c r="EW42" i="3"/>
  <c r="EV42" i="3"/>
  <c r="EW41" i="3"/>
  <c r="EW40" i="3"/>
  <c r="EV40" i="3"/>
  <c r="EW37" i="3"/>
  <c r="EV37" i="3"/>
  <c r="EW36" i="3"/>
  <c r="EW34" i="3"/>
  <c r="EW32" i="3"/>
  <c r="EV32" i="3"/>
  <c r="EW26" i="3"/>
  <c r="EV26" i="3"/>
  <c r="EW25" i="3"/>
  <c r="EV25" i="3"/>
  <c r="EW16" i="3"/>
  <c r="EV16" i="3"/>
  <c r="EW20" i="3"/>
  <c r="EV20" i="3"/>
  <c r="EV21" i="3"/>
  <c r="EW13" i="3"/>
  <c r="EV13" i="3"/>
  <c r="EW19" i="3"/>
  <c r="EV19" i="3"/>
  <c r="EW12" i="3"/>
  <c r="EW9" i="3"/>
  <c r="EV9" i="3"/>
  <c r="EV8" i="3"/>
  <c r="EW7" i="3"/>
  <c r="EV41" i="3"/>
  <c r="EV36" i="3"/>
  <c r="EW35" i="3"/>
  <c r="EV35" i="3"/>
  <c r="EV34" i="3"/>
  <c r="EW33" i="3"/>
  <c r="EV33" i="3"/>
  <c r="EW21" i="3"/>
  <c r="EW18" i="3"/>
  <c r="EV18" i="3"/>
  <c r="EV12" i="3"/>
  <c r="EW10" i="3"/>
  <c r="EV10" i="3"/>
  <c r="EW8" i="3"/>
  <c r="EV7" i="3"/>
  <c r="GV7" i="2"/>
  <c r="EW6" i="3"/>
  <c r="EV6" i="3"/>
  <c r="EW5" i="3"/>
  <c r="EV5" i="3"/>
  <c r="GV26" i="2"/>
  <c r="GV25" i="2"/>
  <c r="GV24" i="2"/>
  <c r="GV23" i="2"/>
  <c r="GV20" i="2"/>
  <c r="GV19" i="2"/>
  <c r="GV18" i="2"/>
  <c r="GV17" i="2"/>
  <c r="GV16" i="2"/>
  <c r="GV15" i="2"/>
  <c r="GV14" i="2"/>
  <c r="GV13" i="2"/>
  <c r="GV11" i="2"/>
  <c r="GV10" i="2"/>
  <c r="GV9" i="2"/>
  <c r="GV8" i="2"/>
  <c r="GV6" i="2"/>
  <c r="ES42" i="3"/>
  <c r="ER42" i="3"/>
  <c r="ES41" i="3"/>
  <c r="ER41" i="3"/>
  <c r="ES40" i="3"/>
  <c r="ER40" i="3"/>
  <c r="ES37" i="3"/>
  <c r="ER37" i="3"/>
  <c r="ES36" i="3"/>
  <c r="ER36" i="3"/>
  <c r="ER35" i="3"/>
  <c r="ES35" i="3"/>
  <c r="ES34" i="3"/>
  <c r="ER34" i="3"/>
  <c r="ES33" i="3"/>
  <c r="ER33" i="3"/>
  <c r="ES32" i="3"/>
  <c r="ER32" i="3"/>
  <c r="ES26" i="3"/>
  <c r="ER26" i="3"/>
  <c r="ER25" i="3"/>
  <c r="ES25" i="3"/>
  <c r="ES21" i="3"/>
  <c r="ER21" i="3"/>
  <c r="ES20" i="3"/>
  <c r="ER20" i="3"/>
  <c r="ES16" i="3"/>
  <c r="ER16" i="3"/>
  <c r="ES19" i="3"/>
  <c r="ER19" i="3"/>
  <c r="ES18" i="3"/>
  <c r="ER18" i="3"/>
  <c r="ES13" i="3"/>
  <c r="ER13" i="3"/>
  <c r="ES12" i="3"/>
  <c r="ER12" i="3"/>
  <c r="ES10" i="3"/>
  <c r="ER10" i="3"/>
  <c r="ES9" i="3"/>
  <c r="ER9" i="3"/>
  <c r="ES8" i="3"/>
  <c r="ER8" i="3"/>
  <c r="ES7" i="3"/>
  <c r="ER7" i="3"/>
  <c r="ES6" i="3"/>
  <c r="ER6" i="3"/>
  <c r="GN26" i="2"/>
  <c r="GN25" i="2"/>
  <c r="GN24" i="2"/>
  <c r="GN23" i="2"/>
  <c r="GN20" i="2"/>
  <c r="GN19" i="2"/>
  <c r="GN18" i="2"/>
  <c r="GN17" i="2"/>
  <c r="GN16" i="2"/>
  <c r="GN15" i="2"/>
  <c r="GN14" i="2"/>
  <c r="GN13" i="2"/>
  <c r="GN11" i="2"/>
  <c r="GN10" i="2"/>
  <c r="GN9" i="2"/>
  <c r="GN8" i="2"/>
  <c r="GN7" i="2"/>
  <c r="ES5" i="3"/>
  <c r="ER5" i="3"/>
  <c r="GN6" i="2"/>
  <c r="EQ42" i="3"/>
  <c r="EP42" i="3"/>
  <c r="EQ41" i="3"/>
  <c r="EP41" i="3"/>
  <c r="EQ40" i="3"/>
  <c r="EP40" i="3"/>
  <c r="EQ37" i="3"/>
  <c r="EP37" i="3"/>
  <c r="EQ36" i="3"/>
  <c r="EP36" i="3"/>
  <c r="EQ35" i="3"/>
  <c r="EP35" i="3"/>
  <c r="EQ34" i="3"/>
  <c r="EP34" i="3"/>
  <c r="EQ32" i="3"/>
  <c r="EP32" i="3"/>
  <c r="EQ26" i="3"/>
  <c r="EP26" i="3"/>
  <c r="EP25" i="3"/>
  <c r="EQ25" i="3"/>
  <c r="EQ21" i="3"/>
  <c r="EP21" i="3"/>
  <c r="EQ20" i="3"/>
  <c r="EP20" i="3"/>
  <c r="EQ16" i="3"/>
  <c r="EP16" i="3"/>
  <c r="EQ33" i="3"/>
  <c r="EP33" i="3"/>
  <c r="EQ18" i="3"/>
  <c r="EP18" i="3"/>
  <c r="EQ13" i="3"/>
  <c r="EP13" i="3"/>
  <c r="EQ19" i="3"/>
  <c r="EP19" i="3"/>
  <c r="EQ12" i="3"/>
  <c r="EP12" i="3"/>
  <c r="EQ10" i="3"/>
  <c r="EP10" i="3"/>
  <c r="EQ9" i="3"/>
  <c r="EP9" i="3"/>
  <c r="EP8" i="3"/>
  <c r="EQ8" i="3"/>
  <c r="EQ7" i="3"/>
  <c r="EP7" i="3"/>
  <c r="GJ26" i="2"/>
  <c r="GJ25" i="2"/>
  <c r="GJ24" i="2"/>
  <c r="GJ23" i="2"/>
  <c r="GJ20" i="2"/>
  <c r="GJ19" i="2"/>
  <c r="GJ18" i="2"/>
  <c r="GJ17" i="2"/>
  <c r="GJ16" i="2"/>
  <c r="GJ15" i="2"/>
  <c r="GJ14" i="2"/>
  <c r="GJ13" i="2"/>
  <c r="GJ11" i="2"/>
  <c r="GJ10" i="2"/>
  <c r="GJ9" i="2"/>
  <c r="GJ8" i="2"/>
  <c r="GJ7" i="2"/>
  <c r="EQ6" i="3"/>
  <c r="EP6" i="3"/>
  <c r="EQ5" i="3"/>
  <c r="EP5" i="3"/>
  <c r="GJ6" i="2"/>
  <c r="EJ35" i="3"/>
  <c r="EI35" i="3"/>
  <c r="FW25" i="2"/>
  <c r="EJ42" i="3"/>
  <c r="EI42" i="3"/>
  <c r="EJ41" i="3"/>
  <c r="EI41" i="3"/>
  <c r="EJ40" i="3"/>
  <c r="EI40" i="3"/>
  <c r="FW26" i="2"/>
  <c r="EJ37" i="3"/>
  <c r="EI37" i="3"/>
  <c r="EJ36" i="3"/>
  <c r="EI36" i="3"/>
  <c r="EJ34" i="3"/>
  <c r="EI34" i="3"/>
  <c r="FW24" i="2"/>
  <c r="EJ32" i="3"/>
  <c r="EI32" i="3"/>
  <c r="EJ26" i="3"/>
  <c r="EI26" i="3"/>
  <c r="EJ25" i="3"/>
  <c r="EI25" i="3"/>
  <c r="EJ19" i="3"/>
  <c r="EI19" i="3"/>
  <c r="EJ16" i="3"/>
  <c r="EI16" i="3"/>
  <c r="FW16" i="2"/>
  <c r="FW15" i="2"/>
  <c r="EJ21" i="3"/>
  <c r="EI21" i="3"/>
  <c r="EJ20" i="3"/>
  <c r="EI20" i="3"/>
  <c r="FW19" i="2"/>
  <c r="FW20" i="2"/>
  <c r="FW23" i="2"/>
  <c r="FW17" i="2"/>
  <c r="EJ33" i="3"/>
  <c r="EI33" i="3"/>
  <c r="EJ18" i="3"/>
  <c r="EI18" i="3"/>
  <c r="EJ13" i="3"/>
  <c r="EI13" i="3"/>
  <c r="FW14" i="2"/>
  <c r="FW18" i="2"/>
  <c r="EJ12" i="3"/>
  <c r="EI12" i="3"/>
  <c r="FW13" i="2"/>
  <c r="EJ10" i="3"/>
  <c r="EI10" i="3"/>
  <c r="FW11" i="2"/>
  <c r="EJ9" i="3"/>
  <c r="EI9" i="3"/>
  <c r="FW10" i="2"/>
  <c r="FW9" i="2"/>
  <c r="EJ8" i="3"/>
  <c r="EI8" i="3"/>
  <c r="FW8" i="2"/>
  <c r="EJ7" i="3"/>
  <c r="EI7" i="3"/>
  <c r="EJ6" i="3"/>
  <c r="EI6" i="3"/>
  <c r="FW7" i="2"/>
  <c r="EJ5" i="3"/>
  <c r="EI5" i="3"/>
  <c r="FW6" i="2"/>
  <c r="ED42" i="3"/>
  <c r="EC42" i="3"/>
  <c r="ED41" i="3"/>
  <c r="EC41" i="3"/>
  <c r="ED40" i="3"/>
  <c r="EC40" i="3"/>
  <c r="ED37" i="3"/>
  <c r="EC37" i="3"/>
  <c r="ED36" i="3"/>
  <c r="EC36" i="3"/>
  <c r="FK26" i="2"/>
  <c r="FK25" i="2"/>
  <c r="ED35" i="3"/>
  <c r="EC35" i="3"/>
  <c r="EB35" i="3"/>
  <c r="EA35" i="3"/>
  <c r="ED34" i="3"/>
  <c r="EC34" i="3"/>
  <c r="FK24" i="2"/>
  <c r="ED32" i="3"/>
  <c r="EC32" i="3"/>
  <c r="ED26" i="3"/>
  <c r="EC26" i="3"/>
  <c r="ED25" i="3"/>
  <c r="EC25" i="3"/>
  <c r="ED33" i="3"/>
  <c r="EC33" i="3"/>
  <c r="ED13" i="3"/>
  <c r="EC13" i="3"/>
  <c r="ED18" i="3"/>
  <c r="EC18" i="3"/>
  <c r="ED21" i="3"/>
  <c r="EC21" i="3"/>
  <c r="ED20" i="3"/>
  <c r="EC20" i="3"/>
  <c r="FK19" i="2"/>
  <c r="FK20" i="2"/>
  <c r="FK23" i="2"/>
  <c r="FK17" i="2"/>
  <c r="FK14" i="2"/>
  <c r="FK18" i="2"/>
  <c r="ED19" i="3"/>
  <c r="EC19" i="3"/>
  <c r="ED12" i="3"/>
  <c r="EC12" i="3"/>
  <c r="FK13" i="2"/>
  <c r="ED10" i="3"/>
  <c r="EC10" i="3"/>
  <c r="FK11" i="2"/>
  <c r="EC9" i="3"/>
  <c r="ED9" i="3"/>
  <c r="FK10" i="2"/>
  <c r="FK9" i="2"/>
  <c r="EC8" i="3"/>
  <c r="ED8" i="3"/>
  <c r="ED7" i="3"/>
  <c r="EC7" i="3"/>
  <c r="FK8" i="2"/>
  <c r="FK7" i="2"/>
  <c r="ED6" i="3"/>
  <c r="EC6" i="3"/>
  <c r="ED5" i="3"/>
  <c r="EC5" i="3"/>
  <c r="ED16" i="3"/>
  <c r="EC16" i="3"/>
  <c r="FK16" i="2"/>
  <c r="FK15" i="2"/>
  <c r="FK6" i="2"/>
  <c r="EB21" i="3"/>
  <c r="EB42" i="3"/>
  <c r="EA42" i="3"/>
  <c r="EB41" i="3"/>
  <c r="EA41" i="3"/>
  <c r="EB40" i="3"/>
  <c r="EA40" i="3"/>
  <c r="FG26" i="2"/>
  <c r="EB37" i="3"/>
  <c r="EA37" i="3"/>
  <c r="EB36" i="3"/>
  <c r="EA36" i="3"/>
  <c r="EB34" i="3"/>
  <c r="EA34" i="3"/>
  <c r="EB32" i="3"/>
  <c r="EA32" i="3"/>
  <c r="EB26" i="3"/>
  <c r="EA26" i="3"/>
  <c r="EB25" i="3"/>
  <c r="EA25" i="3"/>
  <c r="FG24" i="2"/>
  <c r="FG19" i="2"/>
  <c r="FG20" i="2"/>
  <c r="EA21" i="3"/>
  <c r="EB20" i="3"/>
  <c r="EA20" i="3"/>
  <c r="FG16" i="2"/>
  <c r="FG15" i="2"/>
  <c r="EB16" i="3"/>
  <c r="EA16" i="3"/>
  <c r="EB33" i="3"/>
  <c r="EA33" i="3"/>
  <c r="EB18" i="3"/>
  <c r="EA18" i="3"/>
  <c r="EB13" i="3"/>
  <c r="EA13" i="3"/>
  <c r="FG23" i="2"/>
  <c r="FG17" i="2"/>
  <c r="FG14" i="2"/>
  <c r="FG25" i="2"/>
  <c r="FG18" i="2"/>
  <c r="EB19" i="3"/>
  <c r="EA19" i="3"/>
  <c r="EB12" i="3"/>
  <c r="EA12" i="3"/>
  <c r="FG13" i="2"/>
  <c r="FG11" i="2"/>
  <c r="EB10" i="3"/>
  <c r="EA10" i="3"/>
  <c r="FG10" i="2"/>
  <c r="EB9" i="3"/>
  <c r="EA9" i="3"/>
  <c r="FG9" i="2"/>
  <c r="EA8" i="3"/>
  <c r="EB8" i="3"/>
  <c r="EB7" i="3"/>
  <c r="EA7" i="3"/>
  <c r="FG8" i="2"/>
  <c r="FG7" i="2"/>
  <c r="EB6" i="3"/>
  <c r="EA6" i="3"/>
  <c r="EB5" i="3"/>
  <c r="EA5" i="3"/>
  <c r="FG6" i="2"/>
  <c r="DZ42" i="3"/>
  <c r="DY42" i="3"/>
  <c r="DZ41" i="3"/>
  <c r="DY41" i="3"/>
  <c r="DZ40" i="3"/>
  <c r="DY40" i="3"/>
  <c r="DZ37" i="3"/>
  <c r="DY37" i="3"/>
  <c r="DZ36" i="3"/>
  <c r="DY36" i="3"/>
  <c r="FC26" i="2"/>
  <c r="FC25" i="2"/>
  <c r="DZ35" i="3"/>
  <c r="DY35" i="3"/>
  <c r="DZ34" i="3"/>
  <c r="DY34" i="3"/>
  <c r="FC24" i="2"/>
  <c r="DZ32" i="3"/>
  <c r="DY32" i="3"/>
  <c r="DZ26" i="3"/>
  <c r="DY26" i="3"/>
  <c r="DY25" i="3"/>
  <c r="DZ25" i="3"/>
  <c r="FC16" i="2"/>
  <c r="DZ16" i="3"/>
  <c r="DY16" i="3"/>
  <c r="DZ21" i="3"/>
  <c r="DY21" i="3"/>
  <c r="DZ20" i="3"/>
  <c r="DY20" i="3"/>
  <c r="DZ19" i="3"/>
  <c r="DY19" i="3"/>
  <c r="FC19" i="2"/>
  <c r="FC20" i="2"/>
  <c r="FC18" i="2"/>
  <c r="FC15" i="2"/>
  <c r="EU15" i="2"/>
  <c r="EQ15" i="2"/>
  <c r="FC23" i="2"/>
  <c r="FC17" i="2"/>
  <c r="DZ33" i="3"/>
  <c r="DY33" i="3"/>
  <c r="DZ18" i="3"/>
  <c r="DY18" i="3"/>
  <c r="DZ13" i="3"/>
  <c r="DY13" i="3"/>
  <c r="FC14" i="2"/>
  <c r="DZ12" i="3"/>
  <c r="DY12" i="3"/>
  <c r="FC13" i="2"/>
  <c r="DZ10" i="3"/>
  <c r="FC11" i="2"/>
  <c r="DY10" i="3"/>
  <c r="EU10" i="2"/>
  <c r="EU14" i="2"/>
  <c r="FC10" i="2"/>
  <c r="DZ9" i="3"/>
  <c r="DY9" i="3"/>
  <c r="DZ8" i="3"/>
  <c r="DY8" i="3"/>
  <c r="FC9" i="2"/>
  <c r="FC8" i="2"/>
  <c r="DZ7" i="3"/>
  <c r="DY7" i="3"/>
  <c r="FC7" i="2"/>
  <c r="DZ6" i="3"/>
  <c r="DY6" i="3"/>
  <c r="DV5" i="3"/>
  <c r="DZ5" i="3"/>
  <c r="DY5" i="3"/>
  <c r="EU6" i="2"/>
  <c r="FC6" i="2"/>
  <c r="EU7" i="2"/>
  <c r="EU8" i="2"/>
  <c r="EU9" i="2"/>
  <c r="EU11" i="2"/>
  <c r="EU13" i="2"/>
  <c r="EU17" i="2"/>
  <c r="EU18" i="2"/>
  <c r="EU19" i="2"/>
  <c r="EU20" i="2"/>
  <c r="EU23" i="2"/>
  <c r="EU24" i="2"/>
  <c r="EU25" i="2"/>
  <c r="EU26" i="2"/>
  <c r="DU25" i="3"/>
  <c r="DV19" i="3"/>
  <c r="DU18" i="3"/>
  <c r="DV16" i="3"/>
  <c r="DV7" i="3"/>
  <c r="DV9" i="3"/>
  <c r="DU9" i="3"/>
  <c r="DV42" i="3"/>
  <c r="DU42" i="3"/>
  <c r="DV41" i="3"/>
  <c r="DU41" i="3"/>
  <c r="DV40" i="3"/>
  <c r="DU40" i="3"/>
  <c r="DV37" i="3"/>
  <c r="DU37" i="3"/>
  <c r="DV36" i="3"/>
  <c r="DU36" i="3"/>
  <c r="DV35" i="3"/>
  <c r="DU35" i="3"/>
  <c r="DV34" i="3"/>
  <c r="DU34" i="3"/>
  <c r="DV33" i="3"/>
  <c r="DU33" i="3"/>
  <c r="DV32" i="3"/>
  <c r="DU32" i="3"/>
  <c r="DV26" i="3"/>
  <c r="DU26" i="3"/>
  <c r="DV25" i="3"/>
  <c r="DV21" i="3"/>
  <c r="DU21" i="3"/>
  <c r="DV20" i="3"/>
  <c r="DU20" i="3"/>
  <c r="DU19" i="3"/>
  <c r="DV18" i="3"/>
  <c r="DU16" i="3"/>
  <c r="DV13" i="3"/>
  <c r="DU13" i="3"/>
  <c r="DV12" i="3"/>
  <c r="DU12" i="3"/>
  <c r="DV10" i="3"/>
  <c r="DU10" i="3"/>
  <c r="DV8" i="3"/>
  <c r="DU8" i="3"/>
  <c r="DU7" i="3"/>
  <c r="DV6" i="3"/>
  <c r="DU6" i="3"/>
  <c r="DU5" i="3"/>
  <c r="DT16" i="3"/>
  <c r="DS16" i="3"/>
  <c r="DT35" i="3"/>
  <c r="DS35" i="3"/>
  <c r="EQ25" i="2"/>
  <c r="DT42" i="3"/>
  <c r="DS42" i="3"/>
  <c r="DT41" i="3"/>
  <c r="DS41" i="3"/>
  <c r="DT40" i="3"/>
  <c r="DS40" i="3"/>
  <c r="DT37" i="3"/>
  <c r="DS37" i="3"/>
  <c r="DT36" i="3"/>
  <c r="DS36" i="3"/>
  <c r="EQ26" i="2"/>
  <c r="EQ24" i="2"/>
  <c r="DT34" i="3"/>
  <c r="DS34" i="3"/>
  <c r="DT32" i="3"/>
  <c r="DS32" i="3"/>
  <c r="DT26" i="3"/>
  <c r="DS26" i="3"/>
  <c r="DS25" i="3"/>
  <c r="DT25" i="3"/>
  <c r="DT21" i="3"/>
  <c r="DS21" i="3"/>
  <c r="DT20" i="3"/>
  <c r="DS20" i="3"/>
  <c r="EQ20" i="2"/>
  <c r="EQ19" i="2"/>
  <c r="EQ23" i="2"/>
  <c r="DT33" i="3"/>
  <c r="DS33" i="3"/>
  <c r="DT18" i="3"/>
  <c r="DS18" i="3"/>
  <c r="DT13" i="3"/>
  <c r="DS13" i="3"/>
  <c r="EQ17" i="2"/>
  <c r="EQ14" i="2"/>
  <c r="EQ18" i="2"/>
  <c r="DT19" i="3"/>
  <c r="DS19" i="3"/>
  <c r="DT12" i="3"/>
  <c r="DS12" i="3"/>
  <c r="EQ13" i="2"/>
  <c r="EQ11" i="2"/>
  <c r="DT10" i="3"/>
  <c r="DS10" i="3"/>
  <c r="DT9" i="3"/>
  <c r="DS9" i="3"/>
  <c r="EQ10" i="2"/>
  <c r="DS8" i="3"/>
  <c r="DT8" i="3"/>
  <c r="EQ9" i="2"/>
  <c r="DT7" i="3"/>
  <c r="DS7" i="3"/>
  <c r="EQ8" i="2"/>
  <c r="EQ7" i="2"/>
  <c r="DT6" i="3"/>
  <c r="DS6" i="3"/>
  <c r="DT5" i="3"/>
  <c r="DS5" i="3"/>
  <c r="EQ6" i="2"/>
  <c r="DP42" i="3"/>
  <c r="DO42" i="3"/>
  <c r="DP41" i="3"/>
  <c r="DO41" i="3"/>
  <c r="DP40" i="3"/>
  <c r="DO40" i="3"/>
  <c r="EK26" i="2"/>
  <c r="DP37" i="3"/>
  <c r="DO37" i="3"/>
  <c r="DP36" i="3"/>
  <c r="DO36" i="3"/>
  <c r="EK25" i="2"/>
  <c r="DP35" i="3"/>
  <c r="DO35" i="3"/>
  <c r="DP34" i="3"/>
  <c r="DO34" i="3"/>
  <c r="EK24" i="2"/>
  <c r="DP32" i="3"/>
  <c r="DO32" i="3"/>
  <c r="DP26" i="3"/>
  <c r="DO26" i="3"/>
  <c r="DP25" i="3"/>
  <c r="DO25" i="3"/>
  <c r="DP21" i="3"/>
  <c r="DO21" i="3"/>
  <c r="DP20" i="3"/>
  <c r="DO20" i="3"/>
  <c r="DP19" i="3"/>
  <c r="DO19" i="3"/>
  <c r="EK20" i="2"/>
  <c r="EK19" i="2"/>
  <c r="DP33" i="3"/>
  <c r="DO33" i="3"/>
  <c r="DP18" i="3"/>
  <c r="DO18" i="3"/>
  <c r="DP13" i="3"/>
  <c r="DO13" i="3"/>
  <c r="DP16" i="3"/>
  <c r="DO16" i="3"/>
  <c r="EK15" i="2"/>
  <c r="EK23" i="2"/>
  <c r="EK17" i="2"/>
  <c r="EK14" i="2"/>
  <c r="EK18" i="2"/>
  <c r="DP12" i="3"/>
  <c r="DO12" i="3"/>
  <c r="EK13" i="2"/>
  <c r="EK11" i="2"/>
  <c r="DP10" i="3"/>
  <c r="DO10" i="3"/>
  <c r="DP9" i="3"/>
  <c r="DO9" i="3"/>
  <c r="EK10" i="2"/>
  <c r="EK9" i="2"/>
  <c r="DO8" i="3"/>
  <c r="DP8" i="3"/>
  <c r="EK8" i="2"/>
  <c r="DP7" i="3"/>
  <c r="DO7" i="3"/>
  <c r="EK7" i="2"/>
  <c r="DP6" i="3"/>
  <c r="DO6" i="3"/>
  <c r="DP5" i="3"/>
  <c r="DO5" i="3"/>
  <c r="EK6" i="2"/>
  <c r="DN42" i="3"/>
  <c r="DM42" i="3"/>
  <c r="DM41" i="3"/>
  <c r="DN41" i="3"/>
  <c r="DN40" i="3"/>
  <c r="DM40" i="3"/>
  <c r="DN37" i="3"/>
  <c r="DM37" i="3"/>
  <c r="DN36" i="3"/>
  <c r="DM36" i="3"/>
  <c r="EG26" i="2"/>
  <c r="EG25" i="2"/>
  <c r="DN35" i="3"/>
  <c r="DM35" i="3"/>
  <c r="DN34" i="3"/>
  <c r="DM34" i="3"/>
  <c r="EG24" i="2"/>
  <c r="DN32" i="3"/>
  <c r="DM32" i="3"/>
  <c r="DN26" i="3"/>
  <c r="DM26" i="3"/>
  <c r="DN25" i="3"/>
  <c r="DM25" i="3"/>
  <c r="DN21" i="3"/>
  <c r="DM21" i="3"/>
  <c r="DN20" i="3"/>
  <c r="DM20" i="3"/>
  <c r="EG20" i="2"/>
  <c r="EG19" i="2"/>
  <c r="EG15" i="2"/>
  <c r="DN16" i="3"/>
  <c r="DM16" i="3"/>
  <c r="DN33" i="3"/>
  <c r="DM33" i="3"/>
  <c r="DN18" i="3"/>
  <c r="DM18" i="3"/>
  <c r="DN13" i="3"/>
  <c r="DM13" i="3"/>
  <c r="EG23" i="2"/>
  <c r="EG17" i="2"/>
  <c r="EG14" i="2"/>
  <c r="EG18" i="2"/>
  <c r="EG13" i="2"/>
  <c r="DN19" i="3"/>
  <c r="DM19" i="3"/>
  <c r="DN12" i="3"/>
  <c r="DM12" i="3"/>
  <c r="DN10" i="3"/>
  <c r="DM10" i="3"/>
  <c r="EG11" i="2"/>
  <c r="DM9" i="3"/>
  <c r="DN9" i="3"/>
  <c r="EG10" i="2"/>
  <c r="EG9" i="2"/>
  <c r="DN8" i="3"/>
  <c r="DM8" i="3"/>
  <c r="DN7" i="3"/>
  <c r="DM7" i="3"/>
  <c r="EG8" i="2"/>
  <c r="DN6" i="3"/>
  <c r="DM6" i="3"/>
  <c r="EG7" i="2"/>
  <c r="DN5" i="3"/>
  <c r="DM5" i="3"/>
  <c r="EG6" i="2"/>
  <c r="DL42" i="3"/>
  <c r="DK42" i="3"/>
  <c r="DL41" i="3"/>
  <c r="DK41" i="3"/>
  <c r="DL40" i="3"/>
  <c r="DK40" i="3"/>
  <c r="EC25" i="2"/>
  <c r="DY25" i="2"/>
  <c r="DK35" i="3"/>
  <c r="DL35" i="3"/>
  <c r="DJ35" i="3"/>
  <c r="DI35" i="3"/>
  <c r="DL37" i="3"/>
  <c r="DK37" i="3"/>
  <c r="DL36" i="3"/>
  <c r="DK36" i="3"/>
  <c r="EC26" i="2"/>
  <c r="EC24" i="2"/>
  <c r="DL34" i="3"/>
  <c r="DK34" i="3"/>
  <c r="DL32" i="3"/>
  <c r="DK32" i="3"/>
  <c r="DL26" i="3"/>
  <c r="DK26" i="3"/>
  <c r="DL25" i="3"/>
  <c r="DK25" i="3"/>
  <c r="EC20" i="2"/>
  <c r="DL21" i="3"/>
  <c r="DK21" i="3"/>
  <c r="DL20" i="3"/>
  <c r="DK20" i="3"/>
  <c r="EC19" i="2"/>
  <c r="DL16" i="3"/>
  <c r="DK16" i="3"/>
  <c r="EC15" i="2"/>
  <c r="DL33" i="3"/>
  <c r="DK33" i="3"/>
  <c r="DL18" i="3"/>
  <c r="DK18" i="3"/>
  <c r="DL13" i="3"/>
  <c r="DK13" i="3"/>
  <c r="EC23" i="2"/>
  <c r="EC17" i="2"/>
  <c r="EC14" i="2"/>
  <c r="EC18" i="2"/>
  <c r="EC13" i="2"/>
  <c r="DL19" i="3"/>
  <c r="DK19" i="3"/>
  <c r="DL12" i="3"/>
  <c r="DK12" i="3"/>
  <c r="DL10" i="3"/>
  <c r="DK10" i="3"/>
  <c r="EC11" i="2"/>
  <c r="EC10" i="2"/>
  <c r="DK9" i="3"/>
  <c r="DL9" i="3"/>
  <c r="DL8" i="3"/>
  <c r="DK8" i="3"/>
  <c r="EC9" i="2"/>
  <c r="DL7" i="3"/>
  <c r="DK7" i="3"/>
  <c r="EC8" i="2"/>
  <c r="DL6" i="3"/>
  <c r="DK6" i="3"/>
  <c r="EC7" i="2"/>
  <c r="DL5" i="3"/>
  <c r="DK5" i="3"/>
  <c r="EC6" i="2"/>
  <c r="DJ42" i="3"/>
  <c r="DI42" i="3"/>
  <c r="DJ41" i="3"/>
  <c r="DI41" i="3"/>
  <c r="DJ40" i="3"/>
  <c r="DI40" i="3"/>
  <c r="DY26" i="2"/>
  <c r="DJ37" i="3"/>
  <c r="DI37" i="3"/>
  <c r="DJ36" i="3"/>
  <c r="DI36" i="3"/>
  <c r="DJ34" i="3"/>
  <c r="DI34" i="3"/>
  <c r="DY24" i="2"/>
  <c r="DJ32" i="3"/>
  <c r="DI32" i="3"/>
  <c r="DJ26" i="3"/>
  <c r="DI26" i="3"/>
  <c r="DI25" i="3"/>
  <c r="DJ25" i="3"/>
  <c r="DY20" i="2"/>
  <c r="DJ21" i="3"/>
  <c r="DI21" i="3"/>
  <c r="DJ20" i="3"/>
  <c r="DI20" i="3"/>
  <c r="DY19" i="2"/>
  <c r="DJ19" i="3"/>
  <c r="DI19" i="3"/>
  <c r="DY18" i="2"/>
  <c r="DJ16" i="3"/>
  <c r="DI16" i="3"/>
  <c r="DY15" i="2"/>
  <c r="DY23" i="2"/>
  <c r="DY17" i="2"/>
  <c r="DJ33" i="3"/>
  <c r="DI33" i="3"/>
  <c r="DJ18" i="3"/>
  <c r="DI18" i="3"/>
  <c r="DJ13" i="3"/>
  <c r="DI13" i="3"/>
  <c r="DY14" i="2"/>
  <c r="DJ12" i="3"/>
  <c r="DI12" i="3"/>
  <c r="DY13" i="2"/>
  <c r="DJ10" i="3"/>
  <c r="DI10" i="3"/>
  <c r="DY11" i="2"/>
  <c r="DJ9" i="3"/>
  <c r="DI9" i="3"/>
  <c r="DY10" i="2"/>
  <c r="DI8" i="3"/>
  <c r="DJ8" i="3"/>
  <c r="DY9" i="2"/>
  <c r="DJ7" i="3"/>
  <c r="DI7" i="3"/>
  <c r="DY8" i="2"/>
  <c r="DJ6" i="3"/>
  <c r="DI6" i="3"/>
  <c r="DY7" i="2"/>
  <c r="DJ5" i="3"/>
  <c r="DI5" i="3"/>
  <c r="DY6" i="2"/>
  <c r="DH42" i="3"/>
  <c r="DG42" i="3"/>
  <c r="DH41" i="3"/>
  <c r="DG41" i="3"/>
  <c r="DH40" i="3"/>
  <c r="DG40" i="3"/>
  <c r="DH37" i="3"/>
  <c r="DG37" i="3"/>
  <c r="DH36" i="3"/>
  <c r="DG36" i="3"/>
  <c r="DU26" i="2"/>
  <c r="DU25" i="2"/>
  <c r="DQ25" i="2"/>
  <c r="DH35" i="3"/>
  <c r="DG35" i="3"/>
  <c r="DF35" i="3"/>
  <c r="DE35" i="3"/>
  <c r="DU24" i="2"/>
  <c r="DH34" i="3"/>
  <c r="DG34" i="3"/>
  <c r="DH32" i="3"/>
  <c r="DG32" i="3"/>
  <c r="DH26" i="3"/>
  <c r="DG26" i="3"/>
  <c r="DH25" i="3"/>
  <c r="DG25" i="3"/>
  <c r="DU20" i="2"/>
  <c r="DH21" i="3"/>
  <c r="DG21" i="3"/>
  <c r="DH20" i="3"/>
  <c r="DG20" i="3"/>
  <c r="DU19" i="2"/>
  <c r="DH33" i="3"/>
  <c r="DG33" i="3"/>
  <c r="DH18" i="3"/>
  <c r="DG18" i="3"/>
  <c r="DH13" i="3"/>
  <c r="DG13" i="3"/>
  <c r="DH16" i="3"/>
  <c r="DG16" i="3"/>
  <c r="DU15" i="2"/>
  <c r="DU23" i="2"/>
  <c r="DU17" i="2"/>
  <c r="DU14" i="2"/>
  <c r="DU18" i="2"/>
  <c r="DH19" i="3"/>
  <c r="DG19" i="3"/>
  <c r="DH12" i="3"/>
  <c r="DG12" i="3"/>
  <c r="DU13" i="2"/>
  <c r="DU11" i="2"/>
  <c r="DH10" i="3"/>
  <c r="DG10" i="3"/>
  <c r="DH9" i="3"/>
  <c r="DG9" i="3"/>
  <c r="DU10" i="2"/>
  <c r="DG8" i="3"/>
  <c r="DH8" i="3"/>
  <c r="DU9" i="2"/>
  <c r="DH7" i="3"/>
  <c r="DG7" i="3"/>
  <c r="DU8" i="2"/>
  <c r="DU7" i="2"/>
  <c r="DH6" i="3"/>
  <c r="DG6" i="3"/>
  <c r="DH5" i="3"/>
  <c r="DG5" i="3"/>
  <c r="DU6" i="2"/>
  <c r="DF42" i="3"/>
  <c r="DE42" i="3"/>
  <c r="DF41" i="3"/>
  <c r="DE41" i="3"/>
  <c r="DF40" i="3"/>
  <c r="DE40" i="3"/>
  <c r="DQ26" i="2"/>
  <c r="DF37" i="3"/>
  <c r="DE37" i="3"/>
  <c r="DF36" i="3"/>
  <c r="DE36" i="3"/>
  <c r="DQ24" i="2"/>
  <c r="DF34" i="3"/>
  <c r="DE34" i="3"/>
  <c r="DF32" i="3"/>
  <c r="DE32" i="3"/>
  <c r="DF26" i="3"/>
  <c r="DE26" i="3"/>
  <c r="DF25" i="3"/>
  <c r="DE25" i="3"/>
  <c r="DF21" i="3"/>
  <c r="DE21" i="3"/>
  <c r="DF20" i="3"/>
  <c r="DE20" i="3"/>
  <c r="DQ20" i="2"/>
  <c r="DQ19" i="2"/>
  <c r="DF16" i="3"/>
  <c r="DE16" i="3"/>
  <c r="DQ15" i="2"/>
  <c r="DQ23" i="2"/>
  <c r="DQ17" i="2"/>
  <c r="DQ14" i="2"/>
  <c r="DF33" i="3"/>
  <c r="DE33" i="3"/>
  <c r="DF18" i="3"/>
  <c r="DE18" i="3"/>
  <c r="DF13" i="3"/>
  <c r="DE13" i="3"/>
  <c r="DQ18" i="2"/>
  <c r="DF19" i="3"/>
  <c r="DE19" i="3"/>
  <c r="DF12" i="3"/>
  <c r="DE12" i="3"/>
  <c r="DQ13" i="2"/>
  <c r="DF10" i="3"/>
  <c r="DE10" i="3"/>
  <c r="DQ11" i="2"/>
  <c r="DF9" i="3"/>
  <c r="DE9" i="3"/>
  <c r="DQ10" i="2"/>
  <c r="DF8" i="3"/>
  <c r="DE8" i="3"/>
  <c r="DQ9" i="2"/>
  <c r="DQ8" i="2"/>
  <c r="DF7" i="3"/>
  <c r="DE7" i="3"/>
  <c r="DF6" i="3"/>
  <c r="DE6" i="3"/>
  <c r="DQ7" i="2"/>
  <c r="DF5" i="3"/>
  <c r="DE5" i="3"/>
  <c r="DQ6" i="2"/>
  <c r="CZ19" i="3"/>
  <c r="CY19" i="3"/>
  <c r="CZ42" i="3"/>
  <c r="CY42" i="3"/>
  <c r="CZ41" i="3"/>
  <c r="CY41" i="3"/>
  <c r="CZ40" i="3"/>
  <c r="CY40" i="3"/>
  <c r="CZ37" i="3"/>
  <c r="CY37" i="3"/>
  <c r="CZ36" i="3"/>
  <c r="CY36" i="3"/>
  <c r="DE26" i="2"/>
  <c r="CZ35" i="3"/>
  <c r="CY35" i="3"/>
  <c r="DE25" i="2"/>
  <c r="DE24" i="2"/>
  <c r="CZ34" i="3"/>
  <c r="CY34" i="3"/>
  <c r="CZ32" i="3"/>
  <c r="CY32" i="3"/>
  <c r="CZ26" i="3"/>
  <c r="CY26" i="3"/>
  <c r="CY25" i="3"/>
  <c r="CZ25" i="3"/>
  <c r="DE23" i="2"/>
  <c r="CZ33" i="3"/>
  <c r="CY33" i="3"/>
  <c r="CZ18" i="3"/>
  <c r="CY18" i="3"/>
  <c r="CZ13" i="3"/>
  <c r="CY13" i="3"/>
  <c r="CZ16" i="3"/>
  <c r="CY16" i="3"/>
  <c r="DE15" i="2"/>
  <c r="DE17" i="2"/>
  <c r="DE14" i="2"/>
  <c r="CZ12" i="3"/>
  <c r="CY12" i="3"/>
  <c r="DE18" i="2"/>
  <c r="DE13" i="2"/>
  <c r="CZ10" i="3"/>
  <c r="CY10" i="3"/>
  <c r="DE11" i="2"/>
  <c r="DE19" i="2"/>
  <c r="CZ21" i="3"/>
  <c r="CY21" i="3"/>
  <c r="CZ20" i="3"/>
  <c r="CY20" i="3"/>
  <c r="DE20" i="2"/>
  <c r="CZ9" i="3"/>
  <c r="CY9" i="3"/>
  <c r="DE10" i="2"/>
  <c r="CZ8" i="3"/>
  <c r="CY8" i="3"/>
  <c r="DE9" i="2"/>
  <c r="CZ7" i="3"/>
  <c r="CY7" i="3"/>
  <c r="DE8" i="2"/>
  <c r="CZ6" i="3"/>
  <c r="CY6" i="3"/>
  <c r="DE7" i="2"/>
  <c r="CZ5" i="3"/>
  <c r="CY5" i="3"/>
  <c r="DE6" i="2"/>
  <c r="CX42" i="3"/>
  <c r="CW42" i="3"/>
  <c r="CX41" i="3"/>
  <c r="CW41" i="3"/>
  <c r="CX40" i="3"/>
  <c r="CW40" i="3"/>
  <c r="DA25" i="2"/>
  <c r="CW25" i="2"/>
  <c r="CW35" i="3"/>
  <c r="CX35" i="3"/>
  <c r="CV35" i="3"/>
  <c r="CU35" i="3"/>
  <c r="CX37" i="3"/>
  <c r="CW37" i="3"/>
  <c r="CX36" i="3"/>
  <c r="CW36" i="3"/>
  <c r="DA26" i="2"/>
  <c r="CX34" i="3"/>
  <c r="CW34" i="3"/>
  <c r="DA24" i="2"/>
  <c r="CX32" i="3"/>
  <c r="CW32" i="3"/>
  <c r="CX26" i="3"/>
  <c r="CW26" i="3"/>
  <c r="CX25" i="3"/>
  <c r="CW25" i="3"/>
  <c r="CX21" i="3"/>
  <c r="CW21" i="3"/>
  <c r="CX20" i="3"/>
  <c r="CW20" i="3"/>
  <c r="CX19" i="3"/>
  <c r="CW19" i="3"/>
  <c r="DA20" i="2"/>
  <c r="DA19" i="2"/>
  <c r="CX16" i="3"/>
  <c r="CW16" i="3"/>
  <c r="DA15" i="2"/>
  <c r="DA23" i="2"/>
  <c r="DA17" i="2"/>
  <c r="DA14" i="2"/>
  <c r="CX33" i="3"/>
  <c r="CW33" i="3"/>
  <c r="CX18" i="3"/>
  <c r="CW18" i="3"/>
  <c r="CX13" i="3"/>
  <c r="CW13" i="3"/>
  <c r="CX12" i="3"/>
  <c r="CW12" i="3"/>
  <c r="DA18" i="2"/>
  <c r="DA13" i="2"/>
  <c r="CX10" i="3"/>
  <c r="CW10" i="3"/>
  <c r="DA11" i="2"/>
  <c r="CX9" i="3"/>
  <c r="CW9" i="3"/>
  <c r="DA10" i="2"/>
  <c r="CX8" i="3"/>
  <c r="CW8" i="3"/>
  <c r="DA9" i="2"/>
  <c r="CX7" i="3"/>
  <c r="CW7" i="3"/>
  <c r="DA8" i="2"/>
  <c r="CX6" i="3"/>
  <c r="CW6" i="3"/>
  <c r="DA7" i="2"/>
  <c r="CX5" i="3"/>
  <c r="CW5" i="3"/>
  <c r="DA6" i="2"/>
  <c r="CV40" i="3"/>
  <c r="CU40" i="3"/>
  <c r="CV37" i="3"/>
  <c r="CU37" i="3"/>
  <c r="CV36" i="3"/>
  <c r="CU36" i="3"/>
  <c r="CW26" i="2"/>
  <c r="CV34" i="3"/>
  <c r="CU34" i="3"/>
  <c r="CW24" i="2"/>
  <c r="CV32" i="3"/>
  <c r="CU32" i="3"/>
  <c r="CV26" i="3"/>
  <c r="CU26" i="3"/>
  <c r="CV25" i="3"/>
  <c r="CU25" i="3"/>
  <c r="CW20" i="2"/>
  <c r="CV21" i="3"/>
  <c r="CU21" i="3"/>
  <c r="CV20" i="3"/>
  <c r="CU20" i="3"/>
  <c r="CW19" i="2"/>
  <c r="CV33" i="3"/>
  <c r="CU33" i="3"/>
  <c r="CV18" i="3"/>
  <c r="CU18" i="3"/>
  <c r="CV13" i="3"/>
  <c r="CU13" i="3"/>
  <c r="CV16" i="3"/>
  <c r="CU16" i="3"/>
  <c r="CW15" i="2"/>
  <c r="CW23" i="2"/>
  <c r="CW17" i="2"/>
  <c r="CW14" i="2"/>
  <c r="CW18" i="2"/>
  <c r="CW13" i="2"/>
  <c r="CV19" i="3"/>
  <c r="CU19" i="3"/>
  <c r="CV12" i="3"/>
  <c r="CU12" i="3"/>
  <c r="CV10" i="3"/>
  <c r="CU10" i="3"/>
  <c r="CW11" i="2"/>
  <c r="CV9" i="3"/>
  <c r="CU9" i="3"/>
  <c r="CW10" i="2"/>
  <c r="CV8" i="3"/>
  <c r="CU8" i="3"/>
  <c r="CW9" i="2"/>
  <c r="CV7" i="3"/>
  <c r="CU7" i="3"/>
  <c r="CW8" i="2"/>
  <c r="CW7" i="2"/>
  <c r="CV6" i="3"/>
  <c r="CU6" i="3"/>
  <c r="CV5" i="3"/>
  <c r="CU5" i="3"/>
  <c r="CW6" i="2"/>
  <c r="CT35" i="3"/>
  <c r="CS35" i="3"/>
  <c r="CR35" i="3"/>
  <c r="CQ35" i="3"/>
  <c r="CN35" i="3"/>
  <c r="CM35" i="3"/>
  <c r="CS25" i="2"/>
  <c r="CO25" i="2"/>
  <c r="CG25" i="2"/>
  <c r="CT40" i="3"/>
  <c r="CS40" i="3"/>
  <c r="CT37" i="3"/>
  <c r="CS37" i="3"/>
  <c r="CT36" i="3"/>
  <c r="CS36" i="3"/>
  <c r="CS26" i="2"/>
  <c r="CT34" i="3"/>
  <c r="CS34" i="3"/>
  <c r="CS24" i="2"/>
  <c r="CT32" i="3"/>
  <c r="CS32" i="3"/>
  <c r="CT26" i="3"/>
  <c r="CS26" i="3"/>
  <c r="CS25" i="3"/>
  <c r="CT25" i="3"/>
  <c r="CT33" i="3"/>
  <c r="CS33" i="3"/>
  <c r="CT18" i="3"/>
  <c r="CS18" i="3"/>
  <c r="CT13" i="3"/>
  <c r="CS13" i="3"/>
  <c r="CS23" i="2"/>
  <c r="CS17" i="2"/>
  <c r="CS14" i="2"/>
  <c r="CS20" i="2"/>
  <c r="CS19" i="2"/>
  <c r="CT21" i="3"/>
  <c r="CS21" i="3"/>
  <c r="CT20" i="3"/>
  <c r="CS20" i="3"/>
  <c r="CT16" i="3"/>
  <c r="CS16" i="3"/>
  <c r="CS15" i="2"/>
  <c r="CS18" i="2"/>
  <c r="CT19" i="3"/>
  <c r="CS19" i="3"/>
  <c r="CT12" i="3"/>
  <c r="CS12" i="3"/>
  <c r="CS13" i="2"/>
  <c r="CT10" i="3"/>
  <c r="CS10" i="3"/>
  <c r="CS11" i="2"/>
  <c r="CT9" i="3"/>
  <c r="CS9" i="3"/>
  <c r="CS10" i="2"/>
  <c r="CT8" i="3"/>
  <c r="CS8" i="3"/>
  <c r="CS9" i="2"/>
  <c r="CT6" i="3"/>
  <c r="CS6" i="3"/>
  <c r="CS7" i="2"/>
  <c r="CT7" i="3"/>
  <c r="CS7" i="3"/>
  <c r="CS8" i="2"/>
  <c r="CT5" i="3"/>
  <c r="CS5" i="3"/>
  <c r="CS6" i="2"/>
  <c r="CR16" i="3"/>
  <c r="CR40" i="3"/>
  <c r="CQ40" i="3"/>
  <c r="CR37" i="3"/>
  <c r="CQ37" i="3"/>
  <c r="CR36" i="3"/>
  <c r="CQ36" i="3"/>
  <c r="CO26" i="2"/>
  <c r="CO24" i="2"/>
  <c r="CR34" i="3"/>
  <c r="CQ34" i="3"/>
  <c r="CR33" i="3"/>
  <c r="CQ33" i="3"/>
  <c r="CR32" i="3"/>
  <c r="CQ32" i="3"/>
  <c r="CR26" i="3"/>
  <c r="CQ26" i="3"/>
  <c r="CQ25" i="3"/>
  <c r="CR25" i="3"/>
  <c r="CO20" i="2"/>
  <c r="CR21" i="3"/>
  <c r="CQ21" i="3"/>
  <c r="CR20" i="3"/>
  <c r="CQ20" i="3"/>
  <c r="CO19" i="2"/>
  <c r="CQ16" i="3"/>
  <c r="CO15" i="2"/>
  <c r="CR19" i="3"/>
  <c r="CQ19" i="3"/>
  <c r="CO18" i="2"/>
  <c r="CO23" i="2"/>
  <c r="CR18" i="3"/>
  <c r="CQ18" i="3"/>
  <c r="CO17" i="2"/>
  <c r="CR13" i="3"/>
  <c r="CQ13" i="3"/>
  <c r="CO14" i="2"/>
  <c r="CR12" i="3"/>
  <c r="CQ12" i="3"/>
  <c r="CO13" i="2"/>
  <c r="CR10" i="3"/>
  <c r="CQ10" i="3"/>
  <c r="CO11" i="2"/>
  <c r="CR9" i="3"/>
  <c r="CQ9" i="3"/>
  <c r="CO10" i="2"/>
  <c r="CR8" i="3"/>
  <c r="CQ8" i="3"/>
  <c r="CO9" i="2"/>
  <c r="CR7" i="3"/>
  <c r="CQ7" i="3"/>
  <c r="CO8" i="2"/>
  <c r="CR6" i="3"/>
  <c r="CQ6" i="3"/>
  <c r="CO7" i="2"/>
  <c r="CR5" i="3"/>
  <c r="CQ5" i="3"/>
  <c r="CO6" i="2"/>
  <c r="CN40" i="3"/>
  <c r="CM40" i="3"/>
  <c r="CN37" i="3"/>
  <c r="CM37" i="3"/>
  <c r="CN36" i="3"/>
  <c r="CM36" i="3"/>
  <c r="CG26" i="2"/>
  <c r="CN34" i="3"/>
  <c r="CM34" i="3"/>
  <c r="CG24" i="2"/>
  <c r="CG23" i="2"/>
  <c r="CN32" i="3"/>
  <c r="CM32" i="3"/>
  <c r="CN25" i="3"/>
  <c r="CM25" i="3"/>
  <c r="CM26" i="3"/>
  <c r="CN26" i="3"/>
  <c r="CN21" i="3"/>
  <c r="CM21" i="3"/>
  <c r="CN20" i="3"/>
  <c r="CM20" i="3"/>
  <c r="CG20" i="2"/>
  <c r="CG19" i="2"/>
  <c r="CN19" i="3"/>
  <c r="CM19" i="3"/>
  <c r="CN33" i="3"/>
  <c r="CM33" i="3"/>
  <c r="CN18" i="3"/>
  <c r="CM18" i="3"/>
  <c r="CG17" i="2"/>
  <c r="CN13" i="3"/>
  <c r="CM13" i="3"/>
  <c r="CG14" i="2"/>
  <c r="CN16" i="3"/>
  <c r="CM16" i="3"/>
  <c r="CG15" i="2"/>
  <c r="CG18" i="2"/>
  <c r="CN12" i="3"/>
  <c r="CM12" i="3"/>
  <c r="CG13" i="2"/>
  <c r="CN10" i="3"/>
  <c r="CM10" i="3"/>
  <c r="CG11" i="2"/>
  <c r="CN9" i="3"/>
  <c r="CM9" i="3"/>
  <c r="CG10" i="2"/>
  <c r="CN8" i="3"/>
  <c r="CM8" i="3"/>
  <c r="CG9" i="2"/>
  <c r="CN7" i="3"/>
  <c r="CM7" i="3"/>
  <c r="CG8" i="2"/>
  <c r="CN6" i="3"/>
  <c r="CM6" i="3"/>
  <c r="CG7" i="2"/>
  <c r="CN5" i="3"/>
  <c r="CM5" i="3"/>
  <c r="CG6" i="2"/>
  <c r="CC25" i="2"/>
  <c r="CL33" i="3"/>
  <c r="CK35" i="3"/>
  <c r="CL35" i="3"/>
  <c r="CL40" i="3"/>
  <c r="CK40" i="3"/>
  <c r="CL37" i="3"/>
  <c r="CK37" i="3"/>
  <c r="CL36" i="3"/>
  <c r="CK36" i="3"/>
  <c r="CC26" i="2"/>
  <c r="CL34" i="3"/>
  <c r="CK34" i="3"/>
  <c r="CC24" i="2"/>
  <c r="CL32" i="3"/>
  <c r="CK32" i="3"/>
  <c r="CL26" i="3"/>
  <c r="CK26" i="3"/>
  <c r="CL25" i="3"/>
  <c r="CK25" i="3"/>
  <c r="CL21" i="3"/>
  <c r="CK21" i="3"/>
  <c r="CL20" i="3"/>
  <c r="CK20" i="3"/>
  <c r="CC20" i="2"/>
  <c r="CC19" i="2"/>
  <c r="CL18" i="3"/>
  <c r="CK18" i="3"/>
  <c r="CK33" i="3"/>
  <c r="CL13" i="3"/>
  <c r="CK13" i="3"/>
  <c r="CL16" i="3"/>
  <c r="CK16" i="3"/>
  <c r="CC15" i="2"/>
  <c r="CC23" i="2"/>
  <c r="CC17" i="2"/>
  <c r="CC14" i="2"/>
  <c r="CL8" i="3"/>
  <c r="CK8" i="3"/>
  <c r="CC9" i="2"/>
  <c r="CC18" i="2"/>
  <c r="CL19" i="3"/>
  <c r="CK19" i="3"/>
  <c r="CL12" i="3"/>
  <c r="CK12" i="3"/>
  <c r="CC13" i="2"/>
  <c r="CL9" i="3"/>
  <c r="CK9" i="3"/>
  <c r="CC10" i="2"/>
  <c r="CL10" i="3"/>
  <c r="CK10" i="3"/>
  <c r="CC11" i="2"/>
  <c r="CL6" i="3"/>
  <c r="CK6" i="3"/>
  <c r="CC7" i="2"/>
  <c r="CL7" i="3"/>
  <c r="CK7" i="3"/>
  <c r="CC8" i="2"/>
  <c r="CL5" i="3"/>
  <c r="CK5" i="3"/>
  <c r="CC6" i="2"/>
  <c r="CJ6" i="3"/>
  <c r="CI6" i="3"/>
  <c r="BY6" i="2"/>
  <c r="BY23" i="2"/>
  <c r="BY17" i="2"/>
  <c r="BY14" i="2"/>
  <c r="CJ40" i="3"/>
  <c r="CI40" i="3"/>
  <c r="CJ37" i="3"/>
  <c r="CI37" i="3"/>
  <c r="CJ36" i="3"/>
  <c r="CI36" i="3"/>
  <c r="BY26" i="2"/>
  <c r="CJ34" i="3"/>
  <c r="CI34" i="3"/>
  <c r="BY24" i="2"/>
  <c r="CJ32" i="3"/>
  <c r="CI32" i="3"/>
  <c r="CJ26" i="3"/>
  <c r="CI26" i="3"/>
  <c r="CI25" i="3"/>
  <c r="CJ25" i="3"/>
  <c r="CJ21" i="3"/>
  <c r="CI21" i="3"/>
  <c r="CJ20" i="3"/>
  <c r="CI20" i="3"/>
  <c r="BY20" i="2"/>
  <c r="BY19" i="2"/>
  <c r="CJ16" i="3"/>
  <c r="CI16" i="3"/>
  <c r="BY15" i="2"/>
  <c r="BY18" i="2"/>
  <c r="CJ19" i="3"/>
  <c r="CI19" i="3"/>
  <c r="CJ12" i="3"/>
  <c r="CI12" i="3"/>
  <c r="BY13" i="2"/>
  <c r="CJ10" i="3"/>
  <c r="CI10" i="3"/>
  <c r="BY11" i="2"/>
  <c r="CJ9" i="3"/>
  <c r="CI9" i="3"/>
  <c r="BY10" i="2"/>
  <c r="BY9" i="2"/>
  <c r="BY8" i="2"/>
  <c r="BY7" i="2"/>
  <c r="N24" i="2"/>
  <c r="N18" i="2"/>
  <c r="CH40" i="3"/>
  <c r="CG40" i="3"/>
  <c r="CH37" i="3"/>
  <c r="CG37" i="3"/>
  <c r="CH36" i="3"/>
  <c r="CG36" i="3"/>
  <c r="BU26" i="2"/>
  <c r="CH34" i="3"/>
  <c r="CG34" i="3"/>
  <c r="BU24" i="2"/>
  <c r="CH32" i="3"/>
  <c r="CG32" i="3"/>
  <c r="CH26" i="3"/>
  <c r="CG26" i="3"/>
  <c r="CH25" i="3"/>
  <c r="CG25" i="3"/>
  <c r="BU20" i="2"/>
  <c r="CH21" i="3"/>
  <c r="CG21" i="3"/>
  <c r="CH20" i="3"/>
  <c r="CG20" i="3"/>
  <c r="BU19" i="2"/>
  <c r="CH16" i="3"/>
  <c r="CG16" i="3"/>
  <c r="BU15" i="2"/>
  <c r="BU18" i="2"/>
  <c r="CH19" i="3"/>
  <c r="CG19" i="3"/>
  <c r="CH12" i="3"/>
  <c r="CG12" i="3"/>
  <c r="BU13" i="2"/>
  <c r="CH10" i="3"/>
  <c r="CG10" i="3"/>
  <c r="BU11" i="2"/>
  <c r="CH9" i="3"/>
  <c r="CG9" i="3"/>
  <c r="BU10" i="2"/>
  <c r="CH6" i="3"/>
  <c r="CG6" i="3"/>
  <c r="BU7" i="2"/>
  <c r="CF40" i="3"/>
  <c r="CE40" i="3"/>
  <c r="CF37" i="3"/>
  <c r="CE37" i="3"/>
  <c r="CF36" i="3"/>
  <c r="CE36" i="3"/>
  <c r="BQ26" i="2"/>
  <c r="CF34" i="3"/>
  <c r="CE34" i="3"/>
  <c r="BQ24" i="2"/>
  <c r="CF32" i="3"/>
  <c r="CE32" i="3"/>
  <c r="CF26" i="3"/>
  <c r="CE26" i="3"/>
  <c r="CF25" i="3"/>
  <c r="CE25" i="3"/>
  <c r="BQ20" i="2"/>
  <c r="CF21" i="3"/>
  <c r="CE21" i="3"/>
  <c r="CF20" i="3"/>
  <c r="CE20" i="3"/>
  <c r="BQ19" i="2"/>
  <c r="CF16" i="3"/>
  <c r="CE16" i="3"/>
  <c r="BQ15" i="2"/>
  <c r="BQ18" i="2"/>
  <c r="CF19" i="3"/>
  <c r="CE19" i="3"/>
  <c r="CF12" i="3"/>
  <c r="CE12" i="3"/>
  <c r="BQ13" i="2"/>
  <c r="CF9" i="3"/>
  <c r="CE9" i="3"/>
  <c r="CF10" i="3"/>
  <c r="CE10" i="3"/>
  <c r="BQ11" i="2"/>
  <c r="BQ10" i="2"/>
  <c r="CF6" i="3"/>
  <c r="CE6" i="3"/>
  <c r="BQ7" i="2"/>
  <c r="CC6" i="3"/>
  <c r="CD40" i="3"/>
  <c r="CC40" i="3"/>
  <c r="BM10" i="2"/>
  <c r="CD37" i="3"/>
  <c r="CC37" i="3"/>
  <c r="CD36" i="3"/>
  <c r="CC36" i="3"/>
  <c r="BM26" i="2"/>
  <c r="CD34" i="3"/>
  <c r="CC34" i="3"/>
  <c r="BM24" i="2"/>
  <c r="CD32" i="3"/>
  <c r="CC32" i="3"/>
  <c r="CD26" i="3"/>
  <c r="CC26" i="3"/>
  <c r="CD25" i="3"/>
  <c r="CC25" i="3"/>
  <c r="BM20" i="2"/>
  <c r="CD21" i="3"/>
  <c r="CC21" i="3"/>
  <c r="CD20" i="3"/>
  <c r="CC20" i="3"/>
  <c r="BM19" i="2"/>
  <c r="CD16" i="3"/>
  <c r="CC16" i="3"/>
  <c r="BM15" i="2"/>
  <c r="CD19" i="3"/>
  <c r="CC19" i="3"/>
  <c r="BM18" i="2"/>
  <c r="CD12" i="3"/>
  <c r="CC12" i="3"/>
  <c r="BM13" i="2"/>
  <c r="CD10" i="3"/>
  <c r="CC10" i="3"/>
  <c r="BM11" i="2"/>
  <c r="CD9" i="3"/>
  <c r="CC9" i="3"/>
  <c r="CD6" i="3"/>
  <c r="BM7" i="2"/>
  <c r="BY40" i="3"/>
  <c r="BY37" i="3"/>
  <c r="BY36" i="3"/>
  <c r="BF26" i="2"/>
  <c r="BY32" i="3"/>
  <c r="BY26" i="3"/>
  <c r="BY25" i="3"/>
  <c r="BY34" i="3"/>
  <c r="BF24" i="2"/>
  <c r="BF20" i="2"/>
  <c r="BY21" i="3"/>
  <c r="BY20" i="3"/>
  <c r="BF19" i="2"/>
  <c r="BY16" i="3"/>
  <c r="BF15" i="2"/>
  <c r="BF18" i="2"/>
  <c r="BY19" i="3"/>
  <c r="BY12" i="3"/>
  <c r="BF13" i="2"/>
  <c r="BY10" i="3"/>
  <c r="BF11" i="2"/>
  <c r="BY9" i="3"/>
  <c r="BF10" i="2"/>
  <c r="BY6" i="3"/>
  <c r="BF7" i="2"/>
  <c r="BV40" i="3"/>
  <c r="BV37" i="3"/>
  <c r="BV36" i="3"/>
  <c r="BD26" i="2"/>
  <c r="BV34" i="3"/>
  <c r="BD24" i="2"/>
  <c r="BV32" i="3"/>
  <c r="BV26" i="3"/>
  <c r="BV25" i="3"/>
  <c r="BD20" i="2"/>
  <c r="BV21" i="3"/>
  <c r="BV20" i="3"/>
  <c r="BD19" i="2"/>
  <c r="BV16" i="3"/>
  <c r="BD15" i="2"/>
  <c r="BD18" i="2"/>
  <c r="BV19" i="3"/>
  <c r="BV12" i="3"/>
  <c r="BD13" i="2"/>
  <c r="BV10" i="3"/>
  <c r="BD11" i="2"/>
  <c r="BV9" i="3"/>
  <c r="BD10" i="2"/>
  <c r="BV6" i="3"/>
  <c r="BD7" i="2"/>
  <c r="BS40" i="3"/>
  <c r="BS37" i="3"/>
  <c r="BS36" i="3"/>
  <c r="BB26" i="2"/>
  <c r="BS34" i="3"/>
  <c r="BB24" i="2"/>
  <c r="BS32" i="3"/>
  <c r="BS26" i="3"/>
  <c r="BS25" i="3"/>
  <c r="BB20" i="2"/>
  <c r="BS21" i="3"/>
  <c r="BS20" i="3"/>
  <c r="BB19" i="2"/>
  <c r="BB18" i="2"/>
  <c r="BS16" i="3"/>
  <c r="BB15" i="2"/>
  <c r="BS19" i="3"/>
  <c r="BS12" i="3"/>
  <c r="BB13" i="2"/>
  <c r="BS10" i="3"/>
  <c r="BB11" i="2"/>
  <c r="BS9" i="3"/>
  <c r="BB10" i="2"/>
  <c r="BS6" i="3"/>
  <c r="BB7" i="2"/>
  <c r="BP40" i="3"/>
  <c r="BP37" i="3"/>
  <c r="BP36" i="3"/>
  <c r="AZ26" i="2"/>
  <c r="BP34" i="3"/>
  <c r="AZ24" i="2"/>
  <c r="BP32" i="3"/>
  <c r="BP26" i="3"/>
  <c r="BP25" i="3"/>
  <c r="AZ20" i="2"/>
  <c r="BP21" i="3"/>
  <c r="BP20" i="3"/>
  <c r="AZ19" i="2"/>
  <c r="BP16" i="3"/>
  <c r="AZ15" i="2"/>
  <c r="AZ18" i="2"/>
  <c r="BP19" i="3"/>
  <c r="BP12" i="3"/>
  <c r="AZ13" i="2"/>
  <c r="BP10" i="3"/>
  <c r="AZ11" i="2"/>
  <c r="BP9" i="3"/>
  <c r="AZ10" i="2"/>
  <c r="BP6" i="3"/>
  <c r="AZ7" i="2"/>
  <c r="AX10" i="2"/>
  <c r="BM40" i="3"/>
  <c r="BM37" i="3"/>
  <c r="BM36" i="3"/>
  <c r="AX26" i="2"/>
  <c r="BM34" i="3"/>
  <c r="AX24" i="2"/>
  <c r="BM32" i="3"/>
  <c r="BM26" i="3"/>
  <c r="BM25" i="3"/>
  <c r="AX20" i="2"/>
  <c r="BM21" i="3"/>
  <c r="BM20" i="3"/>
  <c r="AX19" i="2"/>
  <c r="BM16" i="3"/>
  <c r="AX15" i="2"/>
  <c r="AX18" i="2"/>
  <c r="BM19" i="3"/>
  <c r="BM12" i="3"/>
  <c r="AX13" i="2"/>
  <c r="BM10" i="3"/>
  <c r="AX11" i="2"/>
  <c r="BM9" i="3"/>
  <c r="BM6" i="3"/>
  <c r="AX7" i="2"/>
  <c r="BJ40" i="3"/>
  <c r="AV26" i="2"/>
  <c r="BJ37" i="3"/>
  <c r="BJ36" i="3"/>
  <c r="BJ34" i="3"/>
  <c r="AV24" i="2"/>
  <c r="BJ32" i="3"/>
  <c r="BJ26" i="3"/>
  <c r="BJ25" i="3"/>
  <c r="BJ20" i="3"/>
  <c r="BJ21" i="3"/>
  <c r="AV20" i="2"/>
  <c r="AV19" i="2"/>
  <c r="BJ16" i="3"/>
  <c r="AV15" i="2"/>
  <c r="AV18" i="2"/>
  <c r="BJ19" i="3"/>
  <c r="BJ12" i="3"/>
  <c r="AV13" i="2"/>
  <c r="BJ10" i="3"/>
  <c r="AV11" i="2"/>
  <c r="BJ9" i="3"/>
  <c r="AV10" i="2"/>
  <c r="BJ6" i="3"/>
  <c r="AV7" i="2"/>
  <c r="BC37" i="3"/>
  <c r="BF40" i="3"/>
  <c r="BF37" i="3"/>
  <c r="BF36" i="3"/>
  <c r="AR26" i="2"/>
  <c r="AR24" i="2"/>
  <c r="BF34" i="3"/>
  <c r="BF32" i="3"/>
  <c r="BF26" i="3"/>
  <c r="BF25" i="3"/>
  <c r="AR18" i="2"/>
  <c r="BF19" i="3"/>
  <c r="BF12" i="3"/>
  <c r="AR13" i="2"/>
  <c r="BF10" i="3"/>
  <c r="AR11" i="2"/>
  <c r="BF9" i="3"/>
  <c r="AR10" i="2"/>
  <c r="AR20" i="2"/>
  <c r="AR19" i="2"/>
  <c r="AR7" i="2"/>
  <c r="BF6" i="3"/>
  <c r="BF21" i="3"/>
  <c r="BF20" i="3"/>
  <c r="BC10" i="3"/>
  <c r="BC40" i="3"/>
  <c r="BC36" i="3"/>
  <c r="AP26" i="2"/>
  <c r="BC34" i="3"/>
  <c r="AP24" i="2"/>
  <c r="BC32" i="3"/>
  <c r="BC26" i="3"/>
  <c r="BC25" i="3"/>
  <c r="AP20" i="2"/>
  <c r="BC21" i="3"/>
  <c r="BC20" i="3"/>
  <c r="AP19" i="2"/>
  <c r="BC16" i="3"/>
  <c r="AP15" i="2"/>
  <c r="AP18" i="2"/>
  <c r="BC19" i="3"/>
  <c r="BC12" i="3"/>
  <c r="BC9" i="3"/>
  <c r="BC6" i="3"/>
  <c r="AP13" i="2"/>
  <c r="AP11" i="2"/>
  <c r="AP10" i="2"/>
  <c r="AP7" i="2"/>
  <c r="AT40" i="3"/>
  <c r="AT37" i="3"/>
  <c r="AT36" i="3"/>
  <c r="AJ26" i="2"/>
  <c r="AT34" i="3"/>
  <c r="AJ24" i="2"/>
  <c r="AT32" i="3"/>
  <c r="AT26" i="3"/>
  <c r="AT25" i="3"/>
  <c r="AJ20" i="2"/>
  <c r="AT21" i="3"/>
  <c r="AT20" i="3"/>
  <c r="AJ19" i="2"/>
  <c r="AT16" i="3"/>
  <c r="AJ15" i="2"/>
  <c r="AJ18" i="2"/>
  <c r="AT19" i="3"/>
  <c r="AT12" i="3"/>
  <c r="AJ13" i="2"/>
  <c r="AT10" i="3"/>
  <c r="AJ11" i="2"/>
  <c r="AT9" i="3"/>
  <c r="AJ10" i="2"/>
  <c r="AT6" i="3"/>
  <c r="AQ40" i="3"/>
  <c r="AQ37" i="3"/>
  <c r="AQ36" i="3"/>
  <c r="AQ34" i="3"/>
  <c r="AQ32" i="3"/>
  <c r="AQ26" i="3"/>
  <c r="AQ25" i="3"/>
  <c r="AQ21" i="3"/>
  <c r="AQ20" i="3"/>
  <c r="AQ19" i="3"/>
  <c r="AQ16" i="3"/>
  <c r="AQ12" i="3"/>
  <c r="AQ10" i="3"/>
  <c r="AQ9" i="3"/>
  <c r="AQ6" i="3"/>
  <c r="AJ7" i="2"/>
  <c r="AH26" i="2"/>
  <c r="AH24" i="2"/>
  <c r="AH20" i="2"/>
  <c r="AH19" i="2"/>
  <c r="AH18" i="2"/>
  <c r="AH15" i="2"/>
  <c r="AH13" i="2"/>
  <c r="AH11" i="2"/>
  <c r="AK9" i="3"/>
  <c r="AH10" i="2"/>
  <c r="AH7" i="2"/>
  <c r="AK40" i="3"/>
  <c r="AK37" i="3"/>
  <c r="AK36" i="3"/>
  <c r="AD26" i="2"/>
  <c r="AK34" i="3"/>
  <c r="AD24" i="2"/>
  <c r="AK33" i="3"/>
  <c r="AD23" i="2"/>
  <c r="AK32" i="3"/>
  <c r="AK26" i="3"/>
  <c r="AK25" i="3"/>
  <c r="AD20" i="2"/>
  <c r="AK21" i="3"/>
  <c r="AK20" i="3"/>
  <c r="AD19" i="2"/>
  <c r="AK18" i="3"/>
  <c r="AD17" i="2"/>
  <c r="AK16" i="3"/>
  <c r="AD15" i="2"/>
  <c r="AD18" i="2"/>
  <c r="AK19" i="3"/>
  <c r="AK12" i="3"/>
  <c r="AD13" i="2"/>
  <c r="AK10" i="3"/>
  <c r="AD11" i="2"/>
  <c r="AD10" i="2"/>
  <c r="AK6" i="3"/>
  <c r="AD7" i="2"/>
  <c r="AH40" i="3"/>
  <c r="AH37" i="3"/>
  <c r="AH36" i="3"/>
  <c r="AB26" i="2"/>
  <c r="AH34" i="3"/>
  <c r="AB24" i="2"/>
  <c r="AH33" i="3"/>
  <c r="AB23" i="2"/>
  <c r="AH32" i="3"/>
  <c r="AH26" i="3"/>
  <c r="AH25" i="3"/>
  <c r="AB20" i="2"/>
  <c r="AH21" i="3"/>
  <c r="AH20" i="3"/>
  <c r="AB19" i="2"/>
  <c r="AH18" i="3"/>
  <c r="AB17" i="2"/>
  <c r="AH16" i="3"/>
  <c r="AB15" i="2"/>
  <c r="AB18" i="2"/>
  <c r="AH19" i="3"/>
  <c r="AE19" i="3"/>
  <c r="AE12" i="3"/>
  <c r="AH12" i="3"/>
  <c r="AB13" i="2"/>
  <c r="AH10" i="3"/>
  <c r="AB11" i="2"/>
  <c r="AH9" i="3"/>
  <c r="AB10" i="2"/>
  <c r="AH6" i="3"/>
  <c r="AB7" i="2"/>
  <c r="AE40" i="3"/>
  <c r="AE37" i="3"/>
  <c r="AE36" i="3"/>
  <c r="Z26" i="2"/>
  <c r="AE34" i="3"/>
  <c r="Z24" i="2"/>
  <c r="AE33" i="3"/>
  <c r="Z23" i="2"/>
  <c r="AE32" i="3"/>
  <c r="AE26" i="3"/>
  <c r="AE25" i="3"/>
  <c r="Z20" i="2"/>
  <c r="AE21" i="3"/>
  <c r="AE20" i="3"/>
  <c r="Z19" i="2"/>
  <c r="AE18" i="3"/>
  <c r="Z17" i="2"/>
  <c r="AE16" i="3"/>
  <c r="Z15" i="2"/>
  <c r="Z18" i="2"/>
  <c r="Z13" i="2"/>
  <c r="AE10" i="3"/>
  <c r="Z11" i="2"/>
  <c r="AE9" i="3"/>
  <c r="Z10" i="2"/>
  <c r="AE6" i="3"/>
  <c r="Z7" i="2"/>
  <c r="AB40" i="3"/>
  <c r="AB37" i="3"/>
  <c r="AB36" i="3"/>
  <c r="X26" i="2"/>
  <c r="AB34" i="3"/>
  <c r="X24" i="2"/>
  <c r="AB33" i="3"/>
  <c r="X23" i="2"/>
  <c r="AB32" i="3"/>
  <c r="AB26" i="3"/>
  <c r="AB25" i="3"/>
  <c r="X20" i="2"/>
  <c r="AB21" i="3"/>
  <c r="AB20" i="3"/>
  <c r="X19" i="2"/>
  <c r="AB18" i="3"/>
  <c r="X17" i="2"/>
  <c r="AB16" i="3"/>
  <c r="X15" i="2"/>
  <c r="AB19" i="3"/>
  <c r="X18" i="2"/>
  <c r="AB12" i="3"/>
  <c r="X13" i="2"/>
  <c r="AB10" i="3"/>
  <c r="X11" i="2"/>
  <c r="AB9" i="3"/>
  <c r="X10" i="2"/>
  <c r="AB6" i="3"/>
  <c r="X7" i="2"/>
  <c r="Y40" i="3"/>
  <c r="Y37" i="3"/>
  <c r="Y36" i="3"/>
  <c r="V26" i="2"/>
  <c r="V34" i="3"/>
  <c r="Y34" i="3"/>
  <c r="V24" i="2"/>
  <c r="Y33" i="3"/>
  <c r="V23" i="2"/>
  <c r="Y32" i="3"/>
  <c r="Y26" i="3"/>
  <c r="Y25" i="3"/>
  <c r="V20" i="2"/>
  <c r="Y21" i="3"/>
  <c r="Y20" i="3"/>
  <c r="V19" i="2"/>
  <c r="Y18" i="3"/>
  <c r="V17" i="2"/>
  <c r="Y16" i="3"/>
  <c r="V15" i="2"/>
  <c r="Y19" i="3"/>
  <c r="V18" i="2"/>
  <c r="Y12" i="3"/>
  <c r="V13" i="2"/>
  <c r="Y10" i="3"/>
  <c r="V11" i="2"/>
  <c r="Y9" i="3"/>
  <c r="V10" i="2"/>
  <c r="Y6" i="3"/>
  <c r="V7" i="2"/>
  <c r="T26" i="2"/>
  <c r="T10" i="2"/>
  <c r="V40" i="3"/>
  <c r="V37" i="3"/>
  <c r="V36" i="3"/>
  <c r="T24" i="2"/>
  <c r="V33" i="3"/>
  <c r="T23" i="2"/>
  <c r="V32" i="3"/>
  <c r="V26" i="3"/>
  <c r="V25" i="3"/>
  <c r="T20" i="2"/>
  <c r="V20" i="3"/>
  <c r="V21" i="3"/>
  <c r="T19" i="2"/>
  <c r="V18" i="3"/>
  <c r="T17" i="2"/>
  <c r="V16" i="3"/>
  <c r="T15" i="2"/>
  <c r="V19" i="3"/>
  <c r="T18" i="2"/>
  <c r="V12" i="3"/>
  <c r="T13" i="2"/>
  <c r="V10" i="3"/>
  <c r="T11" i="2"/>
  <c r="V9" i="3"/>
  <c r="V6" i="3"/>
  <c r="T7" i="2"/>
  <c r="R40" i="3"/>
  <c r="R37" i="3"/>
  <c r="R36" i="3"/>
  <c r="P26" i="2"/>
  <c r="R34" i="3"/>
  <c r="P24" i="2"/>
  <c r="R33" i="3"/>
  <c r="P23" i="2"/>
  <c r="R32" i="3"/>
  <c r="R26" i="3"/>
  <c r="R25" i="3"/>
  <c r="P20" i="2"/>
  <c r="R21" i="3"/>
  <c r="R20" i="3"/>
  <c r="P19" i="2"/>
  <c r="R18" i="3"/>
  <c r="P17" i="2"/>
  <c r="R16" i="3"/>
  <c r="P15" i="2"/>
  <c r="R10" i="3"/>
  <c r="P11" i="2"/>
  <c r="P18" i="2"/>
  <c r="R19" i="3"/>
  <c r="R12" i="3"/>
  <c r="P13" i="2"/>
  <c r="R9" i="3"/>
  <c r="P10" i="2"/>
  <c r="R6" i="3"/>
  <c r="P7" i="2"/>
  <c r="R5" i="3"/>
  <c r="P6" i="2"/>
  <c r="O40" i="3"/>
  <c r="O37" i="3"/>
  <c r="O36" i="3"/>
  <c r="N26" i="2"/>
  <c r="O26" i="2" s="1"/>
  <c r="O34" i="3"/>
  <c r="O33" i="3"/>
  <c r="N23" i="2"/>
  <c r="O23" i="2" s="1"/>
  <c r="O32" i="3"/>
  <c r="O26" i="3"/>
  <c r="O25" i="3"/>
  <c r="N20" i="2"/>
  <c r="O20" i="2" s="1"/>
  <c r="O21" i="3"/>
  <c r="O20" i="3"/>
  <c r="N19" i="2"/>
  <c r="O19" i="2" s="1"/>
  <c r="O18" i="3"/>
  <c r="N17" i="2"/>
  <c r="O17" i="2" s="1"/>
  <c r="O16" i="3"/>
  <c r="N15" i="2"/>
  <c r="O15" i="2" s="1"/>
  <c r="O19" i="3"/>
  <c r="O12" i="3"/>
  <c r="N13" i="2"/>
  <c r="O13" i="2" s="1"/>
  <c r="O10" i="3"/>
  <c r="N11" i="2"/>
  <c r="O11" i="2" s="1"/>
  <c r="O9" i="3"/>
  <c r="N10" i="2"/>
  <c r="O10" i="2" s="1"/>
  <c r="O6" i="3"/>
  <c r="N7" i="2"/>
  <c r="O7" i="2" s="1"/>
  <c r="O5" i="3"/>
  <c r="N6" i="2"/>
  <c r="O6" i="2" s="1"/>
  <c r="L40" i="3"/>
  <c r="L37" i="3"/>
  <c r="L36" i="3"/>
  <c r="M26" i="2"/>
  <c r="L34" i="3"/>
  <c r="M24" i="2"/>
  <c r="L33" i="3"/>
  <c r="M23" i="2"/>
  <c r="L32" i="3"/>
  <c r="L26" i="3"/>
  <c r="L25" i="3"/>
  <c r="M20" i="2"/>
  <c r="L21" i="3"/>
  <c r="L20" i="3"/>
  <c r="M19" i="2"/>
  <c r="L18" i="3"/>
  <c r="M17" i="2"/>
  <c r="L16" i="3"/>
  <c r="M15" i="2"/>
  <c r="L19" i="3"/>
  <c r="M18" i="2"/>
  <c r="L12" i="3"/>
  <c r="M13" i="2"/>
  <c r="M11" i="2"/>
  <c r="L9" i="3"/>
  <c r="M10" i="2"/>
  <c r="M7" i="2"/>
  <c r="K20" i="2"/>
  <c r="K17" i="2"/>
  <c r="K10" i="2"/>
  <c r="K7" i="2"/>
  <c r="L6" i="3"/>
  <c r="L5" i="3"/>
  <c r="M6" i="2"/>
  <c r="I36" i="3"/>
  <c r="I40" i="3"/>
  <c r="I37" i="3"/>
  <c r="K26" i="2"/>
  <c r="I34" i="3"/>
  <c r="K24" i="2"/>
  <c r="I33" i="3"/>
  <c r="K23" i="2"/>
  <c r="I32" i="3"/>
  <c r="I26" i="3"/>
  <c r="I25" i="3"/>
  <c r="I20" i="3"/>
  <c r="K19" i="2"/>
  <c r="I21" i="3"/>
  <c r="K18" i="2"/>
  <c r="I18" i="3"/>
  <c r="I16" i="3"/>
  <c r="K15" i="2"/>
  <c r="I10" i="3"/>
  <c r="K11" i="2"/>
  <c r="I19" i="3"/>
  <c r="I12" i="3"/>
  <c r="K13" i="2"/>
  <c r="I9" i="3"/>
  <c r="K9" i="2"/>
  <c r="K8" i="2"/>
  <c r="I6" i="3"/>
  <c r="I5" i="3"/>
  <c r="K6" i="2"/>
  <c r="H40" i="3"/>
  <c r="H37" i="3"/>
  <c r="H36" i="3"/>
  <c r="G34" i="3"/>
  <c r="H34" i="3"/>
  <c r="H33" i="3"/>
  <c r="H32" i="3"/>
  <c r="H26" i="3"/>
  <c r="H25" i="3"/>
  <c r="H21" i="3"/>
  <c r="H20" i="3"/>
  <c r="G18" i="3"/>
  <c r="H18" i="3"/>
  <c r="H16" i="3"/>
  <c r="H10" i="3"/>
  <c r="H9" i="3"/>
  <c r="H6" i="3"/>
  <c r="H5" i="3"/>
  <c r="H12" i="3"/>
  <c r="H19" i="3"/>
  <c r="G40" i="3"/>
  <c r="G37" i="3"/>
  <c r="G36" i="3"/>
  <c r="G33" i="3"/>
  <c r="G32" i="3"/>
  <c r="G26" i="3"/>
  <c r="G25" i="3"/>
  <c r="G20" i="3"/>
  <c r="G21" i="3"/>
  <c r="G16" i="3"/>
  <c r="G19" i="3"/>
  <c r="G12" i="3"/>
  <c r="G10" i="3"/>
  <c r="G9" i="3"/>
  <c r="G6" i="3"/>
  <c r="G5" i="3"/>
  <c r="E40" i="3"/>
  <c r="E37" i="3"/>
  <c r="E36" i="3"/>
  <c r="E34" i="3"/>
  <c r="E33" i="3"/>
  <c r="E32" i="3"/>
  <c r="E26" i="3"/>
  <c r="E21" i="3"/>
  <c r="E20" i="3"/>
  <c r="E18" i="3"/>
  <c r="E10" i="3"/>
  <c r="E16" i="3"/>
  <c r="E13" i="3"/>
  <c r="E19" i="3"/>
  <c r="E12" i="3"/>
  <c r="E9" i="3"/>
  <c r="E5" i="3"/>
  <c r="KG26" i="2" l="1"/>
  <c r="KG19" i="2"/>
  <c r="KG10" i="2"/>
  <c r="ML14" i="2"/>
  <c r="KG17" i="2"/>
  <c r="KG20" i="2"/>
  <c r="KG24" i="2"/>
  <c r="KG25" i="2"/>
  <c r="MP6" i="2"/>
  <c r="ML19" i="2"/>
  <c r="ML20" i="2"/>
  <c r="ML10" i="2"/>
  <c r="ML16" i="2"/>
  <c r="ML23" i="2"/>
  <c r="MP10" i="2"/>
  <c r="MP16" i="2"/>
  <c r="MP23" i="2"/>
  <c r="KG14" i="2"/>
  <c r="ML11" i="2"/>
  <c r="ML24" i="2"/>
  <c r="MP11" i="2"/>
  <c r="MP24" i="2"/>
  <c r="KG15" i="2"/>
  <c r="KG23" i="2"/>
  <c r="ML17" i="2"/>
  <c r="ML25" i="2"/>
  <c r="MP17" i="2"/>
  <c r="MP25" i="2"/>
  <c r="ML6" i="2"/>
  <c r="MP14" i="2"/>
  <c r="MP7" i="2"/>
  <c r="MP8" i="2"/>
  <c r="KG16" i="2"/>
  <c r="ML18" i="2"/>
  <c r="ML26" i="2"/>
  <c r="MP18" i="2"/>
  <c r="MP26" i="2"/>
  <c r="MP19" i="2"/>
  <c r="MP20" i="2"/>
  <c r="ML7" i="2"/>
  <c r="ML8" i="2"/>
  <c r="KG11" i="2"/>
  <c r="ML9" i="2"/>
  <c r="ML15" i="2"/>
  <c r="MP9" i="2"/>
  <c r="MP15" i="2"/>
  <c r="MX26" i="2"/>
  <c r="MX25" i="2"/>
  <c r="MX24" i="2"/>
  <c r="MX23" i="2"/>
  <c r="MX20" i="2"/>
  <c r="MX19" i="2"/>
  <c r="MX18" i="2"/>
  <c r="MX17" i="2"/>
  <c r="MX16" i="2"/>
  <c r="MX15" i="2"/>
  <c r="MX14" i="2"/>
  <c r="MX10" i="2"/>
  <c r="MX9" i="2"/>
  <c r="MX7" i="2"/>
  <c r="MT24" i="2"/>
  <c r="MT23" i="2"/>
  <c r="MT20" i="2"/>
  <c r="MT17" i="2"/>
  <c r="MT16" i="2"/>
  <c r="MT10" i="2"/>
  <c r="MT8" i="2"/>
  <c r="MT6" i="2"/>
  <c r="KO15" i="2"/>
  <c r="KG9" i="2"/>
  <c r="KG8" i="2"/>
  <c r="KG7" i="2"/>
  <c r="KG6" i="2"/>
  <c r="JM9" i="2"/>
  <c r="JM7" i="2"/>
  <c r="JI26" i="2"/>
  <c r="JI25" i="2"/>
  <c r="JI24" i="2"/>
  <c r="JI23" i="2"/>
  <c r="JI20" i="2"/>
  <c r="JI19" i="2"/>
  <c r="JI18" i="2"/>
  <c r="JI17" i="2"/>
  <c r="JI16" i="2"/>
  <c r="JI15" i="2"/>
  <c r="JI14" i="2"/>
  <c r="JI11" i="2"/>
  <c r="JI10" i="2"/>
  <c r="JI9" i="2"/>
  <c r="JI8" i="2"/>
  <c r="JI7" i="2"/>
  <c r="JI6" i="2"/>
  <c r="JE26" i="2"/>
  <c r="JE25" i="2"/>
  <c r="JE24" i="2"/>
  <c r="JE23" i="2"/>
  <c r="JE20" i="2"/>
  <c r="JE19" i="2"/>
  <c r="JE18" i="2"/>
  <c r="JE17" i="2"/>
  <c r="JE16" i="2"/>
  <c r="JE15" i="2"/>
  <c r="JE14" i="2"/>
  <c r="JE11" i="2"/>
  <c r="JE10" i="2"/>
  <c r="JE9" i="2"/>
  <c r="JE8" i="2"/>
  <c r="JE7" i="2"/>
  <c r="JE6" i="2"/>
  <c r="IO26" i="2"/>
  <c r="IO25" i="2"/>
  <c r="IO24" i="2"/>
  <c r="IO23" i="2"/>
  <c r="IO20" i="2"/>
  <c r="IO19" i="2"/>
  <c r="IO18" i="2"/>
  <c r="IO17" i="2"/>
  <c r="IO16" i="2"/>
  <c r="IO15" i="2"/>
  <c r="MX11" i="2"/>
  <c r="MX8" i="2"/>
  <c r="MX6" i="2"/>
  <c r="MT26" i="2"/>
  <c r="MT25" i="2"/>
  <c r="MT19" i="2"/>
  <c r="MT18" i="2"/>
  <c r="MT15" i="2"/>
  <c r="MT14" i="2"/>
  <c r="MT11" i="2"/>
  <c r="MT9" i="2"/>
  <c r="MT7" i="2"/>
  <c r="KS26" i="2"/>
  <c r="KX26" i="2" s="1"/>
  <c r="KS25" i="2"/>
  <c r="KX25" i="2" s="1"/>
  <c r="KS24" i="2"/>
  <c r="KX24" i="2" s="1"/>
  <c r="KS23" i="2"/>
  <c r="KX23" i="2" s="1"/>
  <c r="KS20" i="2"/>
  <c r="KX20" i="2" s="1"/>
  <c r="KS19" i="2"/>
  <c r="KX19" i="2" s="1"/>
  <c r="KS18" i="2"/>
  <c r="KX18" i="2" s="1"/>
  <c r="KS17" i="2"/>
  <c r="KX17" i="2" s="1"/>
  <c r="KS16" i="2"/>
  <c r="KX16" i="2" s="1"/>
  <c r="KS15" i="2"/>
  <c r="KX15" i="2" s="1"/>
  <c r="KS14" i="2"/>
  <c r="KX14" i="2" s="1"/>
  <c r="KS11" i="2"/>
  <c r="KX11" i="2" s="1"/>
  <c r="KS10" i="2"/>
  <c r="KX10" i="2" s="1"/>
  <c r="KS9" i="2"/>
  <c r="KX9" i="2" s="1"/>
  <c r="KS8" i="2"/>
  <c r="KX8" i="2" s="1"/>
  <c r="KS7" i="2"/>
  <c r="KX7" i="2" s="1"/>
  <c r="KS6" i="2"/>
  <c r="KX6" i="2" s="1"/>
  <c r="KO26" i="2"/>
  <c r="KO25" i="2"/>
  <c r="KO24" i="2"/>
  <c r="KO23" i="2"/>
  <c r="KO20" i="2"/>
  <c r="KO19" i="2"/>
  <c r="KO18" i="2"/>
  <c r="KO17" i="2"/>
  <c r="KO16" i="2"/>
  <c r="KO14" i="2"/>
  <c r="KO11" i="2"/>
  <c r="KO10" i="2"/>
  <c r="KO9" i="2"/>
  <c r="KO8" i="2"/>
  <c r="KO7" i="2"/>
  <c r="KO6" i="2"/>
  <c r="KK26" i="2"/>
  <c r="KK25" i="2"/>
  <c r="KK24" i="2"/>
  <c r="KK23" i="2"/>
  <c r="KK16" i="2"/>
  <c r="KK15" i="2"/>
  <c r="KK6" i="2"/>
  <c r="JQ20" i="2"/>
  <c r="JQ19" i="2"/>
  <c r="JQ18" i="2"/>
  <c r="JQ17" i="2"/>
  <c r="JQ16" i="2"/>
  <c r="JQ15" i="2"/>
  <c r="JQ14" i="2"/>
  <c r="JQ11" i="2"/>
  <c r="JQ10" i="2"/>
  <c r="JQ9" i="2"/>
  <c r="JQ8" i="2"/>
  <c r="JQ7" i="2"/>
  <c r="JQ6" i="2"/>
  <c r="JM26" i="2"/>
  <c r="JM25" i="2"/>
  <c r="JM24" i="2"/>
  <c r="JM23" i="2"/>
  <c r="IO14" i="2"/>
  <c r="IO11" i="2"/>
  <c r="IO10" i="2"/>
  <c r="IO9" i="2"/>
  <c r="IO8" i="2"/>
  <c r="IO7" i="2"/>
  <c r="IO6" i="2"/>
  <c r="IK26" i="2"/>
  <c r="IK25" i="2"/>
  <c r="IK24" i="2"/>
  <c r="IK23" i="2"/>
  <c r="IK20" i="2"/>
  <c r="IK19" i="2"/>
  <c r="IK18" i="2"/>
  <c r="IK17" i="2"/>
  <c r="IK16" i="2"/>
  <c r="IK15" i="2"/>
  <c r="IK14" i="2"/>
  <c r="IK11" i="2"/>
  <c r="IK10" i="2"/>
  <c r="IK9" i="2"/>
  <c r="IK8" i="2"/>
  <c r="IK7" i="2"/>
  <c r="IK6" i="2"/>
  <c r="KK20" i="2"/>
  <c r="KK19" i="2"/>
  <c r="KK17" i="2"/>
  <c r="KK14" i="2"/>
  <c r="KK11" i="2"/>
  <c r="KK10" i="2"/>
  <c r="KK9" i="2"/>
  <c r="KK8" i="2"/>
  <c r="KK7" i="2"/>
  <c r="KG18" i="2"/>
  <c r="JQ26" i="2"/>
  <c r="JQ25" i="2"/>
  <c r="JQ24" i="2"/>
  <c r="JQ23" i="2"/>
  <c r="IG24" i="2"/>
  <c r="IG23" i="2"/>
  <c r="IG20" i="2"/>
  <c r="IG18" i="2"/>
  <c r="IG16" i="2"/>
  <c r="IG11" i="2"/>
  <c r="IG8" i="2"/>
  <c r="IG6" i="2"/>
  <c r="IC26" i="2"/>
  <c r="IC24" i="2"/>
  <c r="IC20" i="2"/>
  <c r="IC18" i="2"/>
  <c r="IC16" i="2"/>
  <c r="IC14" i="2"/>
  <c r="IC11" i="2"/>
  <c r="IC8" i="2"/>
  <c r="IC7" i="2"/>
  <c r="IC6" i="2"/>
  <c r="JM20" i="2"/>
  <c r="JM19" i="2"/>
  <c r="JM18" i="2"/>
  <c r="JM17" i="2"/>
  <c r="JM16" i="2"/>
  <c r="JM15" i="2"/>
  <c r="JM14" i="2"/>
  <c r="JM11" i="2"/>
  <c r="JM10" i="2"/>
  <c r="JM8" i="2"/>
  <c r="JM6" i="2"/>
  <c r="IG26" i="2"/>
  <c r="IG25" i="2"/>
  <c r="IG19" i="2"/>
  <c r="IG17" i="2"/>
  <c r="IG15" i="2"/>
  <c r="IG14" i="2"/>
  <c r="IG10" i="2"/>
  <c r="IG9" i="2"/>
  <c r="IG7" i="2"/>
  <c r="IC25" i="2"/>
  <c r="IC23" i="2"/>
  <c r="IC19" i="2"/>
  <c r="IC17" i="2"/>
  <c r="IC15" i="2"/>
  <c r="IC13" i="2"/>
  <c r="IC10" i="2"/>
  <c r="IC9" i="2"/>
  <c r="KK18" i="2"/>
  <c r="HQ14" i="2"/>
  <c r="HQ23" i="2"/>
  <c r="HQ16" i="2"/>
  <c r="HQ8" i="2"/>
  <c r="HQ18" i="2"/>
  <c r="HQ13" i="2"/>
  <c r="HQ25" i="2"/>
  <c r="HQ20" i="2"/>
  <c r="HQ11" i="2"/>
  <c r="HQ26" i="2"/>
  <c r="HQ17" i="2"/>
  <c r="HQ9" i="2"/>
  <c r="HQ24" i="2"/>
  <c r="HQ19" i="2"/>
  <c r="HQ10" i="2"/>
  <c r="HQ7" i="2"/>
  <c r="HQ15" i="2"/>
  <c r="HQ6" i="2"/>
  <c r="GO26" i="2"/>
  <c r="GO25" i="2"/>
  <c r="GO24" i="2"/>
  <c r="GO23" i="2"/>
  <c r="GO20" i="2"/>
  <c r="GO19" i="2"/>
  <c r="GO18" i="2"/>
  <c r="GO17" i="2"/>
  <c r="GO16" i="2"/>
  <c r="GO15" i="2"/>
  <c r="GO14" i="2"/>
  <c r="GO13" i="2"/>
  <c r="GO11" i="2"/>
  <c r="GO10" i="2"/>
  <c r="GO9" i="2"/>
  <c r="GO8" i="2"/>
  <c r="GO7" i="2"/>
  <c r="GO6" i="2"/>
  <c r="HA20" i="2"/>
  <c r="HA16" i="2"/>
  <c r="HA13" i="2"/>
  <c r="HA9" i="2"/>
  <c r="HA6" i="2"/>
  <c r="HA26" i="2"/>
  <c r="HA23" i="2"/>
  <c r="HA18" i="2"/>
  <c r="HA15" i="2"/>
  <c r="HA11" i="2"/>
  <c r="HA7" i="2"/>
  <c r="HA25" i="2"/>
  <c r="HA24" i="2"/>
  <c r="HA19" i="2"/>
  <c r="HA17" i="2"/>
  <c r="HA14" i="2"/>
  <c r="HA10" i="2"/>
  <c r="HA8" i="2"/>
  <c r="FH26" i="2"/>
  <c r="FH19" i="2"/>
  <c r="FH20" i="2"/>
  <c r="FH16" i="2"/>
  <c r="FH15" i="2"/>
  <c r="FH23" i="2"/>
  <c r="FH17" i="2"/>
  <c r="FH14" i="2"/>
  <c r="FH25" i="2"/>
  <c r="FH18" i="2"/>
  <c r="FH13" i="2"/>
  <c r="FH11" i="2"/>
  <c r="HM26" i="2"/>
  <c r="HM23" i="2"/>
  <c r="HM19" i="2"/>
  <c r="HM16" i="2"/>
  <c r="HM13" i="2"/>
  <c r="HM10" i="2"/>
  <c r="HM7" i="2"/>
  <c r="HI24" i="2"/>
  <c r="HI20" i="2"/>
  <c r="HI17" i="2"/>
  <c r="HI14" i="2"/>
  <c r="HI10" i="2"/>
  <c r="HI7" i="2"/>
  <c r="HI6" i="2"/>
  <c r="HE26" i="2"/>
  <c r="HE24" i="2"/>
  <c r="HE19" i="2"/>
  <c r="HE16" i="2"/>
  <c r="HE13" i="2"/>
  <c r="HE10" i="2"/>
  <c r="HE7" i="2"/>
  <c r="HM25" i="2"/>
  <c r="HM20" i="2"/>
  <c r="HM17" i="2"/>
  <c r="HM14" i="2"/>
  <c r="HM9" i="2"/>
  <c r="HM6" i="2"/>
  <c r="HI26" i="2"/>
  <c r="HI23" i="2"/>
  <c r="HI19" i="2"/>
  <c r="HI18" i="2"/>
  <c r="HI16" i="2"/>
  <c r="HI13" i="2"/>
  <c r="HI9" i="2"/>
  <c r="HE20" i="2"/>
  <c r="HE17" i="2"/>
  <c r="HE14" i="2"/>
  <c r="HE8" i="2"/>
  <c r="HM24" i="2"/>
  <c r="HM18" i="2"/>
  <c r="HM15" i="2"/>
  <c r="HM11" i="2"/>
  <c r="HM8" i="2"/>
  <c r="HI25" i="2"/>
  <c r="HI15" i="2"/>
  <c r="HI11" i="2"/>
  <c r="HI8" i="2"/>
  <c r="HE25" i="2"/>
  <c r="HE23" i="2"/>
  <c r="HE18" i="2"/>
  <c r="HE15" i="2"/>
  <c r="HE11" i="2"/>
  <c r="HE9" i="2"/>
  <c r="HE6" i="2"/>
  <c r="FH10" i="2"/>
  <c r="FH9" i="2"/>
  <c r="FH8" i="2"/>
  <c r="FH7" i="2"/>
  <c r="FH6" i="2"/>
  <c r="FL26" i="2"/>
  <c r="FL25" i="2"/>
  <c r="FL24" i="2"/>
  <c r="FL19" i="2"/>
  <c r="FL20" i="2"/>
  <c r="FL23" i="2"/>
  <c r="FL17" i="2"/>
  <c r="FL14" i="2"/>
  <c r="FL18" i="2"/>
  <c r="FL13" i="2"/>
  <c r="FL11" i="2"/>
  <c r="FL10" i="2"/>
  <c r="FL9" i="2"/>
  <c r="FL8" i="2"/>
  <c r="FL7" i="2"/>
  <c r="FL16" i="2"/>
  <c r="FL15" i="2"/>
  <c r="FL6" i="2"/>
  <c r="FH24" i="2"/>
  <c r="EV9" i="2"/>
  <c r="EV10" i="2"/>
  <c r="ER19" i="2"/>
  <c r="ER17" i="2"/>
  <c r="ER14" i="2"/>
  <c r="ER18" i="2"/>
  <c r="ER10" i="2"/>
  <c r="ER9" i="2"/>
  <c r="ER7" i="2"/>
  <c r="ER8" i="2"/>
  <c r="ER6" i="2"/>
  <c r="DZ25" i="2"/>
  <c r="EV15" i="2"/>
  <c r="ER15" i="2"/>
  <c r="EV8" i="2"/>
  <c r="EV14" i="2"/>
  <c r="EV17" i="2"/>
  <c r="EV23" i="2"/>
  <c r="EV6" i="2"/>
  <c r="EV11" i="2"/>
  <c r="EV7" i="2"/>
  <c r="EV26" i="2"/>
  <c r="EV25" i="2"/>
  <c r="EV24" i="2"/>
  <c r="EV19" i="2"/>
  <c r="EV20" i="2"/>
  <c r="EV18" i="2"/>
  <c r="EV13" i="2"/>
  <c r="ER25" i="2"/>
  <c r="ER26" i="2"/>
  <c r="ER24" i="2"/>
  <c r="ER20" i="2"/>
  <c r="ER23" i="2"/>
  <c r="ER13" i="2"/>
  <c r="ER11" i="2"/>
  <c r="EL26" i="2"/>
  <c r="EL25" i="2"/>
  <c r="EL24" i="2"/>
  <c r="EL20" i="2"/>
  <c r="EL19" i="2"/>
  <c r="EL15" i="2"/>
  <c r="EL23" i="2"/>
  <c r="EL17" i="2"/>
  <c r="EL14" i="2"/>
  <c r="EL18" i="2"/>
  <c r="EL13" i="2"/>
  <c r="EL11" i="2"/>
  <c r="EL10" i="2"/>
  <c r="EL9" i="2"/>
  <c r="EL8" i="2"/>
  <c r="EL7" i="2"/>
  <c r="EL6" i="2"/>
  <c r="EH26" i="2"/>
  <c r="EH25" i="2"/>
  <c r="EH24" i="2"/>
  <c r="EH20" i="2"/>
  <c r="EH19" i="2"/>
  <c r="EH15" i="2"/>
  <c r="EH23" i="2"/>
  <c r="EH17" i="2"/>
  <c r="EH14" i="2"/>
  <c r="EH18" i="2"/>
  <c r="EH13" i="2"/>
  <c r="EH11" i="2"/>
  <c r="EH10" i="2"/>
  <c r="EH9" i="2"/>
  <c r="EH8" i="2"/>
  <c r="EH7" i="2"/>
  <c r="EH6" i="2"/>
  <c r="ED25" i="2"/>
  <c r="ED26" i="2"/>
  <c r="ED24" i="2"/>
  <c r="ED20" i="2"/>
  <c r="ED19" i="2"/>
  <c r="ED15" i="2"/>
  <c r="ED23" i="2"/>
  <c r="ED17" i="2"/>
  <c r="ED14" i="2"/>
  <c r="ED18" i="2"/>
  <c r="ED13" i="2"/>
  <c r="ED11" i="2"/>
  <c r="ED10" i="2"/>
  <c r="ED9" i="2"/>
  <c r="ED8" i="2"/>
  <c r="ED7" i="2"/>
  <c r="ED6" i="2"/>
  <c r="DZ6" i="2"/>
  <c r="DZ26" i="2"/>
  <c r="DZ24" i="2"/>
  <c r="DZ20" i="2"/>
  <c r="DZ19" i="2"/>
  <c r="DZ18" i="2"/>
  <c r="DZ15" i="2"/>
  <c r="DZ23" i="2"/>
  <c r="DZ17" i="2"/>
  <c r="DZ14" i="2"/>
  <c r="DZ13" i="2"/>
  <c r="DZ11" i="2"/>
  <c r="DZ10" i="2"/>
  <c r="DZ9" i="2"/>
  <c r="DZ8" i="2"/>
  <c r="DZ7" i="2"/>
  <c r="O24" i="2"/>
  <c r="DV9" i="2"/>
  <c r="DV25" i="2"/>
  <c r="DV24" i="2"/>
  <c r="DV20" i="2"/>
  <c r="DV19" i="2"/>
  <c r="DV15" i="2"/>
  <c r="DV23" i="2"/>
  <c r="DV17" i="2"/>
  <c r="DV14" i="2"/>
  <c r="DV18" i="2"/>
  <c r="DV13" i="2"/>
  <c r="DV11" i="2"/>
  <c r="DV10" i="2"/>
  <c r="DV8" i="2"/>
  <c r="DV7" i="2"/>
  <c r="DV6" i="2"/>
  <c r="DV26" i="2"/>
  <c r="CP10" i="2"/>
  <c r="CP11" i="2"/>
  <c r="DB25" i="2"/>
  <c r="DB15" i="2"/>
  <c r="DB11" i="2"/>
  <c r="CX20" i="2"/>
  <c r="CX14" i="2"/>
  <c r="CX13" i="2"/>
  <c r="CX9" i="2"/>
  <c r="CX7" i="2"/>
  <c r="CT23" i="2"/>
  <c r="CT17" i="2"/>
  <c r="CT14" i="2"/>
  <c r="CT20" i="2"/>
  <c r="CT15" i="2"/>
  <c r="CT18" i="2"/>
  <c r="CT13" i="2"/>
  <c r="CT9" i="2"/>
  <c r="CT8" i="2"/>
  <c r="CT6" i="2"/>
  <c r="CP20" i="2"/>
  <c r="CP14" i="2"/>
  <c r="CP6" i="2"/>
  <c r="CT7" i="2"/>
  <c r="CD23" i="2"/>
  <c r="DF26" i="2"/>
  <c r="DF25" i="2"/>
  <c r="DF24" i="2"/>
  <c r="DF23" i="2"/>
  <c r="DF15" i="2"/>
  <c r="DF17" i="2"/>
  <c r="DF14" i="2"/>
  <c r="DF18" i="2"/>
  <c r="DF13" i="2"/>
  <c r="DF11" i="2"/>
  <c r="DF19" i="2"/>
  <c r="DF20" i="2"/>
  <c r="DF10" i="2"/>
  <c r="DF9" i="2"/>
  <c r="DF8" i="2"/>
  <c r="DF7" i="2"/>
  <c r="DF6" i="2"/>
  <c r="DB26" i="2"/>
  <c r="DB24" i="2"/>
  <c r="DB20" i="2"/>
  <c r="DB19" i="2"/>
  <c r="DB23" i="2"/>
  <c r="DB17" i="2"/>
  <c r="DB14" i="2"/>
  <c r="DB18" i="2"/>
  <c r="DB13" i="2"/>
  <c r="DB10" i="2"/>
  <c r="DB9" i="2"/>
  <c r="DB8" i="2"/>
  <c r="DB7" i="2"/>
  <c r="DB6" i="2"/>
  <c r="CX26" i="2"/>
  <c r="CX24" i="2"/>
  <c r="CX19" i="2"/>
  <c r="CX15" i="2"/>
  <c r="CX23" i="2"/>
  <c r="CX17" i="2"/>
  <c r="CX18" i="2"/>
  <c r="CX11" i="2"/>
  <c r="CX10" i="2"/>
  <c r="CX8" i="2"/>
  <c r="CX6" i="2"/>
  <c r="CT26" i="2"/>
  <c r="CT24" i="2"/>
  <c r="CT19" i="2"/>
  <c r="CT11" i="2"/>
  <c r="CT10" i="2"/>
  <c r="CP26" i="2"/>
  <c r="CP24" i="2"/>
  <c r="CP19" i="2"/>
  <c r="CP15" i="2"/>
  <c r="CP18" i="2"/>
  <c r="CP23" i="2"/>
  <c r="CP17" i="2"/>
  <c r="CP13" i="2"/>
  <c r="CP9" i="2"/>
  <c r="CP8" i="2"/>
  <c r="CP7" i="2"/>
  <c r="CH26" i="2"/>
  <c r="CH24" i="2"/>
  <c r="CH23" i="2"/>
  <c r="CH20" i="2"/>
  <c r="CH19" i="2"/>
  <c r="CH17" i="2"/>
  <c r="CH14" i="2"/>
  <c r="CH15" i="2"/>
  <c r="CH18" i="2"/>
  <c r="CH13" i="2"/>
  <c r="CH11" i="2"/>
  <c r="CH10" i="2"/>
  <c r="CH9" i="2"/>
  <c r="CH8" i="2"/>
  <c r="CH7" i="2"/>
  <c r="CH6" i="2"/>
  <c r="CD26" i="2"/>
  <c r="CD24" i="2"/>
  <c r="CD20" i="2"/>
  <c r="CD19" i="2"/>
  <c r="CD15" i="2"/>
  <c r="CD17" i="2"/>
  <c r="CD6" i="2"/>
  <c r="BZ11" i="2"/>
  <c r="CD14" i="2"/>
  <c r="CD9" i="2"/>
  <c r="CD18" i="2"/>
  <c r="CD13" i="2"/>
  <c r="CD10" i="2"/>
  <c r="CD11" i="2"/>
  <c r="CD7" i="2"/>
  <c r="CD8" i="2"/>
  <c r="BZ26" i="2"/>
  <c r="BZ24" i="2"/>
  <c r="BZ20" i="2"/>
  <c r="BZ19" i="2"/>
  <c r="BZ15" i="2"/>
  <c r="BZ18" i="2"/>
  <c r="BZ13" i="2"/>
  <c r="BZ10" i="2"/>
  <c r="BZ7" i="2"/>
  <c r="O18" i="2"/>
  <c r="BV11" i="2"/>
  <c r="BR10" i="2"/>
  <c r="BR7" i="2"/>
  <c r="BV26" i="2"/>
  <c r="BV24" i="2"/>
  <c r="BV20" i="2"/>
  <c r="BV19" i="2"/>
  <c r="BV15" i="2"/>
  <c r="BV18" i="2"/>
  <c r="BV13" i="2"/>
  <c r="BV10" i="2"/>
  <c r="BV7" i="2"/>
  <c r="BR26" i="2"/>
  <c r="BR24" i="2"/>
  <c r="BR20" i="2"/>
  <c r="BR19" i="2"/>
  <c r="BR15" i="2"/>
  <c r="BR18" i="2"/>
  <c r="BR13" i="2"/>
  <c r="BR11" i="2"/>
  <c r="BG13" i="2"/>
  <c r="BG11" i="2"/>
  <c r="BG10" i="2"/>
  <c r="BG7" i="2"/>
  <c r="BG15" i="2"/>
  <c r="BG18" i="2"/>
  <c r="BG20" i="2"/>
  <c r="BG19" i="2"/>
  <c r="BG26" i="2"/>
  <c r="BG24" i="2"/>
  <c r="BE10" i="2"/>
  <c r="BE26" i="2"/>
  <c r="BE24" i="2"/>
  <c r="BE20" i="2"/>
  <c r="BE19" i="2"/>
  <c r="BE15" i="2"/>
  <c r="BE18" i="2"/>
  <c r="BE13" i="2"/>
  <c r="BE11" i="2"/>
  <c r="BE7" i="2"/>
  <c r="BC26" i="2"/>
  <c r="BC24" i="2"/>
  <c r="BC20" i="2"/>
  <c r="BC19" i="2"/>
  <c r="BC18" i="2"/>
  <c r="BC15" i="2"/>
  <c r="BC13" i="2"/>
  <c r="BC11" i="2"/>
  <c r="BC10" i="2"/>
  <c r="BC7" i="2"/>
  <c r="AW7" i="2"/>
  <c r="AS18" i="2"/>
  <c r="AS13" i="2"/>
  <c r="AS11" i="2"/>
  <c r="AS10" i="2"/>
  <c r="AS7" i="2"/>
  <c r="AE7" i="2"/>
  <c r="AC19" i="2"/>
  <c r="AC15" i="2"/>
  <c r="AC13" i="2"/>
  <c r="W11" i="2"/>
  <c r="AE19" i="2"/>
  <c r="AC23" i="2"/>
  <c r="AC20" i="2"/>
  <c r="AC17" i="2"/>
  <c r="AC18" i="2"/>
  <c r="BA26" i="2"/>
  <c r="BA24" i="2"/>
  <c r="BA20" i="2"/>
  <c r="BA19" i="2"/>
  <c r="BA15" i="2"/>
  <c r="BA18" i="2"/>
  <c r="BA13" i="2"/>
  <c r="BA11" i="2"/>
  <c r="BA10" i="2"/>
  <c r="BA7" i="2"/>
  <c r="AY10" i="2"/>
  <c r="AY26" i="2"/>
  <c r="AY19" i="2"/>
  <c r="AY15" i="2"/>
  <c r="AY18" i="2"/>
  <c r="AY13" i="2"/>
  <c r="AY11" i="2"/>
  <c r="AY7" i="2"/>
  <c r="AW24" i="2"/>
  <c r="AW20" i="2"/>
  <c r="AW19" i="2"/>
  <c r="AW18" i="2"/>
  <c r="AW11" i="2"/>
  <c r="AS19" i="2"/>
  <c r="AK7" i="2"/>
  <c r="AI24" i="2"/>
  <c r="AI7" i="2"/>
  <c r="AE26" i="2"/>
  <c r="AE15" i="2"/>
  <c r="AE11" i="2"/>
  <c r="AC10" i="2"/>
  <c r="AA26" i="2"/>
  <c r="Y23" i="2"/>
  <c r="Y17" i="2"/>
  <c r="W26" i="2"/>
  <c r="W17" i="2"/>
  <c r="W13" i="2"/>
  <c r="U24" i="2"/>
  <c r="U17" i="2"/>
  <c r="U11" i="2"/>
  <c r="Q6" i="2"/>
  <c r="AY24" i="2"/>
  <c r="AY20" i="2"/>
  <c r="AW26" i="2"/>
  <c r="AW13" i="2"/>
  <c r="AI20" i="2"/>
  <c r="AI15" i="2"/>
  <c r="AE23" i="2"/>
  <c r="AE18" i="2"/>
  <c r="AC11" i="2"/>
  <c r="Q26" i="2"/>
  <c r="Q15" i="2"/>
  <c r="Q10" i="2"/>
  <c r="AW10" i="2"/>
  <c r="AS26" i="2"/>
  <c r="AS24" i="2"/>
  <c r="AS20" i="2"/>
  <c r="AI19" i="2"/>
  <c r="AI11" i="2"/>
  <c r="AE20" i="2"/>
  <c r="AC26" i="2"/>
  <c r="Y10" i="2"/>
  <c r="W20" i="2"/>
  <c r="U26" i="2"/>
  <c r="U7" i="2"/>
  <c r="AK26" i="2"/>
  <c r="AK24" i="2"/>
  <c r="AK20" i="2"/>
  <c r="AK19" i="2"/>
  <c r="AK15" i="2"/>
  <c r="AK18" i="2"/>
  <c r="AK13" i="2"/>
  <c r="AK11" i="2"/>
  <c r="AK10" i="2"/>
  <c r="AI18" i="2"/>
  <c r="AI13" i="2"/>
  <c r="AE24" i="2"/>
  <c r="AE13" i="2"/>
  <c r="AC7" i="2"/>
  <c r="W19" i="2"/>
  <c r="W7" i="2"/>
  <c r="U18" i="2"/>
  <c r="Q11" i="2"/>
  <c r="AI26" i="2"/>
  <c r="AI10" i="2"/>
  <c r="AE17" i="2"/>
  <c r="AC24" i="2"/>
  <c r="AA7" i="2"/>
  <c r="Y11" i="2"/>
  <c r="U10" i="2"/>
  <c r="U15" i="2"/>
  <c r="AE10" i="2"/>
  <c r="AA24" i="2"/>
  <c r="Y24" i="2"/>
  <c r="Y19" i="2"/>
  <c r="W24" i="2"/>
  <c r="W18" i="2"/>
  <c r="U13" i="2"/>
  <c r="Q23" i="2"/>
  <c r="Q18" i="2"/>
  <c r="AA23" i="2"/>
  <c r="AA20" i="2"/>
  <c r="AA19" i="2"/>
  <c r="AA17" i="2"/>
  <c r="AA15" i="2"/>
  <c r="AA18" i="2"/>
  <c r="AA13" i="2"/>
  <c r="AA11" i="2"/>
  <c r="AA10" i="2"/>
  <c r="Y26" i="2"/>
  <c r="Y20" i="2"/>
  <c r="Y7" i="2"/>
  <c r="W23" i="2"/>
  <c r="W15" i="2"/>
  <c r="W10" i="2"/>
  <c r="U23" i="2"/>
  <c r="U19" i="2"/>
  <c r="Q17" i="2"/>
  <c r="Q7" i="2"/>
  <c r="Y15" i="2"/>
  <c r="Y18" i="2"/>
  <c r="Y13" i="2"/>
  <c r="U20" i="2"/>
  <c r="Q13" i="2"/>
  <c r="Q24" i="2"/>
  <c r="Q20" i="2"/>
  <c r="Q19" i="2"/>
  <c r="I26" i="2"/>
  <c r="I25" i="2"/>
  <c r="I24" i="2"/>
  <c r="I23" i="2"/>
  <c r="I22" i="2"/>
  <c r="I21" i="2" l="1"/>
  <c r="I20" i="2"/>
  <c r="I19" i="2"/>
  <c r="I18" i="2"/>
  <c r="I17" i="2"/>
  <c r="I15" i="2"/>
  <c r="I13" i="2"/>
  <c r="I12" i="2"/>
  <c r="I11" i="2"/>
  <c r="I10" i="2"/>
  <c r="I9" i="2"/>
  <c r="I8" i="2"/>
  <c r="I7" i="2"/>
  <c r="I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tc={7C6DC304-EA38-4DBC-AE9A-C1EFE9C69BD1}</author>
    <author>tc={25453E58-EB94-4603-8BF9-40ADDE89967C}</author>
    <author>tc={304453A4-783D-4A45-84FA-CAC8873E0510}</author>
    <author>tc={3DF6D1BE-BEFE-4F47-8B87-0F8668600CD8}</author>
    <author>tc={F36C268B-A8C1-421D-B5AE-FFA57F0C9A28}</author>
    <author>tc={EB24BCCC-903E-4C35-A9AE-AD045C6BCE58}</author>
    <author>tc={7770FBD5-74E9-4E37-94BD-56AFD5FE9314}</author>
    <author>tc={AB8C3609-5651-4A6B-8414-8FDAD1DA3013}</author>
    <author>tc={4B05303C-F6D0-4EF0-AB48-E821D7C31409}</author>
    <author>tc={064518AF-5A97-4E91-8BF5-92A42E7D4307}</author>
    <author>tc={996EBCCF-0C51-436E-BA59-1B1347775F64}</author>
    <author>tc={B1BCD66E-F111-48BC-B1DE-6389E1EC93E5}</author>
    <author>tc={B1FE2BBE-4DD4-4058-8383-AE300A6479C4}</author>
    <author>tc={65FFD823-5530-41F9-851C-8B35D0AA2A6A}</author>
    <author>tc={3B8419F4-0118-4AEA-B772-CA960CEB8B30}</author>
    <author>tc={0FEC3928-E63F-4856-9CCC-C064DB4D348C}</author>
    <author>tc={52D1D8DC-DACC-48E3-ADC5-91C8C198B6EE}</author>
  </authors>
  <commentList>
    <comment ref="AT5" authorId="0" shapeId="0" xr:uid="{7C6DC304-EA38-4DBC-AE9A-C1EFE9C69BD1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Madurai Rep DB server problem,
Informed to Mr. Suresh for take the DB Backup from ACC Cloud restore to Madurai Rep DB Server</t>
        </r>
      </text>
    </comment>
    <comment ref="AV5" authorId="1" shapeId="0" xr:uid="{25453E58-EB94-4603-8BF9-40ADDE89967C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Madurai Rep DB server problem,
Informed to Mr. Suresh for take the DB Backup from ACC Cloud restore to Madurai Rep DB Server</t>
        </r>
      </text>
    </comment>
    <comment ref="BF5" authorId="2" shapeId="0" xr:uid="{304453A4-783D-4A45-84FA-CAC8873E0510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LCL rep not working from yesterday 4 PM and I have fixed, now its replicating</t>
        </r>
      </text>
    </comment>
    <comment ref="CD5" authorId="3" shapeId="0" xr:uid="{3DF6D1BE-BEFE-4F47-8B87-0F8668600CD8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172.16.16.5 New Rep added and due to network issue its not replicating, informed to Mr. Prem</t>
        </r>
      </text>
    </comment>
    <comment ref="CF5" authorId="4" shapeId="0" xr:uid="{F36C268B-A8C1-421D-B5AE-FFA57F0C9A28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172.16.16.5 New Rep added and due to network issue its not replicating, informed to Mr. Prem</t>
        </r>
      </text>
    </comment>
    <comment ref="CH5" authorId="5" shapeId="0" xr:uid="{EB24BCCC-903E-4C35-A9AE-AD045C6BCE58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172.16.16.5 New Rep added and due to network issue its not replicating, informed to Mr. Prem</t>
        </r>
      </text>
    </comment>
    <comment ref="CK5" authorId="6" shapeId="0" xr:uid="{7770FBD5-74E9-4E37-94BD-56AFD5FE9314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Local(192.168.0.198) is not working, Teams message sent to Satish sir</t>
        </r>
      </text>
    </comment>
    <comment ref="CQ5" authorId="7" shapeId="0" xr:uid="{AB8C3609-5651-4A6B-8414-8FDAD1DA3013}">
      <text>
        <r>
          <rPr>
            <sz val="11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Local(192.168.0.198) is not working, Teams message sent to Satish sir
Reply:
    Full backup is coping to rep server for reinitialize </t>
        </r>
      </text>
    </comment>
    <comment ref="CS5" authorId="8" shapeId="0" xr:uid="{4B05303C-F6D0-4EF0-AB48-E821D7C31409}">
      <text>
        <r>
          <rPr>
            <sz val="11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Local(192.168.0.198) is not working, Teams message sent to Satish sir
Reply:
    Full backup is coping to rep server for reinitialize </t>
        </r>
      </text>
    </comment>
    <comment ref="N6" authorId="9" shapeId="0" xr:uid="{064518AF-5A97-4E91-8BF5-92A42E7D4307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After 12 PM Not working informed to Varunan Sir</t>
        </r>
      </text>
    </comment>
    <comment ref="AB9" authorId="10" shapeId="0" xr:uid="{996EBCCF-0C51-436E-BA59-1B1347775F64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Started working after 11.28 AM, row has deleted in 2 tables</t>
        </r>
      </text>
    </comment>
    <comment ref="CQ9" authorId="11" shapeId="0" xr:uid="{B1BCD66E-F111-48BC-B1DE-6389E1EC93E5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Moved to cloud, Rep is not working due to OC_Rep password is wrong, informed to Satish sir</t>
        </r>
      </text>
    </comment>
    <comment ref="CS9" authorId="12" shapeId="0" xr:uid="{B1FE2BBE-4DD4-4058-8383-AE300A6479C4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Moved to cloud, Rep is not working due to OC_Rep password is wrong, informed to Satish sir</t>
        </r>
      </text>
    </comment>
    <comment ref="AA13" authorId="13" shapeId="0" xr:uid="{65FFD823-5530-41F9-851C-8B35D0AA2A6A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Network Failed, informed to Mr. Prem after restart the VT server it is working fine after 12.34 PM</t>
        </r>
      </text>
    </comment>
    <comment ref="AC35" authorId="14" shapeId="0" xr:uid="{3B8419F4-0118-4AEA-B772-CA960CEB8B30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Need to configure</t>
        </r>
      </text>
    </comment>
    <comment ref="AE35" authorId="15" shapeId="0" xr:uid="{0FEC3928-E63F-4856-9CCC-C064DB4D348C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Need to configure</t>
        </r>
      </text>
    </comment>
    <comment ref="AG35" authorId="16" shapeId="0" xr:uid="{52D1D8DC-DACC-48E3-ADC5-91C8C198B6EE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Need to configure
Reply:
    Replication is configured, its getting failed because of network. Cloud to Cloud, need to check with Prem</t>
        </r>
      </text>
    </comment>
  </commentList>
</comments>
</file>

<file path=xl/sharedStrings.xml><?xml version="1.0" encoding="utf-8"?>
<sst xmlns="http://schemas.openxmlformats.org/spreadsheetml/2006/main" count="1262" uniqueCount="94">
  <si>
    <t>S.No</t>
  </si>
  <si>
    <t>Database</t>
  </si>
  <si>
    <t>W/NW/PW</t>
  </si>
  <si>
    <t>New Rep</t>
  </si>
  <si>
    <t>Old Rep</t>
  </si>
  <si>
    <t>Antsprodlive</t>
  </si>
  <si>
    <t>Holiday</t>
  </si>
  <si>
    <t>Sunday</t>
  </si>
  <si>
    <t>Mad + Lcl</t>
  </si>
  <si>
    <t>Leave</t>
  </si>
  <si>
    <t>RHLLive</t>
  </si>
  <si>
    <t>ATCLive</t>
  </si>
  <si>
    <t>ArtikaCottonMills</t>
  </si>
  <si>
    <t>RRFLive</t>
  </si>
  <si>
    <t>RRLive</t>
  </si>
  <si>
    <t>OOPLive</t>
  </si>
  <si>
    <t>AKGLive</t>
  </si>
  <si>
    <t>VTLive</t>
  </si>
  <si>
    <t>OOPReport</t>
  </si>
  <si>
    <t>OOPMail</t>
  </si>
  <si>
    <t>SCM_MMD_Live</t>
  </si>
  <si>
    <t>HelpDeskLive</t>
  </si>
  <si>
    <t>ATLive</t>
  </si>
  <si>
    <t>ENESLive</t>
  </si>
  <si>
    <t>WorkFlowEngineLive</t>
  </si>
  <si>
    <t>SmartDocLive</t>
  </si>
  <si>
    <t>OOPWorkFlowEngineLive</t>
  </si>
  <si>
    <t>OOPAnalytics</t>
  </si>
  <si>
    <t>Gallery</t>
  </si>
  <si>
    <t>BpMaster</t>
  </si>
  <si>
    <t>Advt</t>
  </si>
  <si>
    <t>OOPHangfire</t>
  </si>
  <si>
    <t>OOPAuthendication</t>
  </si>
  <si>
    <t>OOPSyncBPHangFire</t>
  </si>
  <si>
    <t>HelpDeskLiveArchive</t>
  </si>
  <si>
    <t>Notification</t>
  </si>
  <si>
    <t>TSCLive</t>
  </si>
  <si>
    <t>VGLive</t>
  </si>
  <si>
    <t>VPM</t>
  </si>
  <si>
    <t>HDD Size in MB</t>
  </si>
  <si>
    <t>Time</t>
  </si>
  <si>
    <t>IP</t>
  </si>
  <si>
    <t>9.45 AM</t>
  </si>
  <si>
    <t>D</t>
  </si>
  <si>
    <t>E</t>
  </si>
  <si>
    <t>D% used</t>
  </si>
  <si>
    <t>E% used</t>
  </si>
  <si>
    <t>Cloud</t>
  </si>
  <si>
    <t>192.167.0.20</t>
  </si>
  <si>
    <t>192.168.0.164</t>
  </si>
  <si>
    <t>192.168.0.172</t>
  </si>
  <si>
    <t>192.168.0.180</t>
  </si>
  <si>
    <t>192.168.0.183</t>
  </si>
  <si>
    <t>192.168.0.177</t>
  </si>
  <si>
    <t>BBLive</t>
  </si>
  <si>
    <t>10.0.10.203</t>
  </si>
  <si>
    <t>Notifications</t>
  </si>
  <si>
    <t>192.168.0.166</t>
  </si>
  <si>
    <t>VPMLive</t>
  </si>
  <si>
    <t>BIReports</t>
  </si>
  <si>
    <t>192.168.0.187</t>
  </si>
  <si>
    <t>Jobs</t>
  </si>
  <si>
    <t>ESSLDB</t>
  </si>
  <si>
    <t>192.168.0.117</t>
  </si>
  <si>
    <t>EHRDB</t>
  </si>
  <si>
    <t>192.168.0.14</t>
  </si>
  <si>
    <t>WMS</t>
  </si>
  <si>
    <t>192.168.0.176</t>
  </si>
  <si>
    <t>DB Size in MB</t>
  </si>
  <si>
    <t>Size in MB</t>
  </si>
  <si>
    <t>Size</t>
  </si>
  <si>
    <t>DB Size</t>
  </si>
  <si>
    <t>Growth Diff Previous day</t>
  </si>
  <si>
    <t>MDF</t>
  </si>
  <si>
    <t>LDF</t>
  </si>
  <si>
    <t>Total</t>
  </si>
  <si>
    <t>10:30 AM</t>
  </si>
  <si>
    <t>10:40 AM</t>
  </si>
  <si>
    <t>11:00 AM</t>
  </si>
  <si>
    <t>REP DB BI Reports</t>
  </si>
  <si>
    <t>REP DB Jobs</t>
  </si>
  <si>
    <t>192.168.0.198</t>
  </si>
  <si>
    <t>`</t>
  </si>
  <si>
    <t xml:space="preserve"> 2:15 PM</t>
  </si>
  <si>
    <t>Lcl</t>
  </si>
  <si>
    <t>OCRD</t>
  </si>
  <si>
    <t xml:space="preserve">OCRD </t>
  </si>
  <si>
    <t>05:40 PM</t>
  </si>
  <si>
    <t>06:15 PM</t>
  </si>
  <si>
    <t>04:30PM</t>
  </si>
  <si>
    <t>04:00PM</t>
  </si>
  <si>
    <t>06:00PM</t>
  </si>
  <si>
    <t>BI</t>
  </si>
  <si>
    <t>06:10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</si>
</sst>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1"/>
      <color theme="3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93">
    <xf numFmtId="0" fontId="0" fillId="0" borderId="0" xfId="0"/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2" xfId="0" quotePrefix="1" applyFont="1" applyFill="1" applyBorder="1" applyAlignment="1">
      <alignment horizontal="center" vertical="top"/>
    </xf>
    <xf numFmtId="0" fontId="0" fillId="0" borderId="2" xfId="0" applyBorder="1"/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/>
    <xf numFmtId="15" fontId="1" fillId="2" borderId="2" xfId="0" quotePrefix="1" applyNumberFormat="1" applyFont="1" applyFill="1" applyBorder="1" applyAlignment="1">
      <alignment horizontal="center" vertical="top"/>
    </xf>
    <xf numFmtId="15" fontId="1" fillId="2" borderId="2" xfId="0" quotePrefix="1" applyNumberFormat="1" applyFont="1" applyFill="1" applyBorder="1" applyAlignment="1">
      <alignment horizontal="center" vertical="top" wrapText="1"/>
    </xf>
    <xf numFmtId="0" fontId="2" fillId="3" borderId="2" xfId="0" applyFont="1" applyFill="1" applyBorder="1"/>
    <xf numFmtId="0" fontId="1" fillId="2" borderId="6" xfId="0" applyFont="1" applyFill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top"/>
    </xf>
    <xf numFmtId="43" fontId="2" fillId="0" borderId="2" xfId="1" applyFont="1" applyBorder="1"/>
    <xf numFmtId="43" fontId="0" fillId="0" borderId="2" xfId="1" applyFont="1" applyBorder="1"/>
    <xf numFmtId="15" fontId="1" fillId="2" borderId="7" xfId="0" quotePrefix="1" applyNumberFormat="1" applyFont="1" applyFill="1" applyBorder="1" applyAlignment="1">
      <alignment horizontal="center" vertical="top" wrapText="1"/>
    </xf>
    <xf numFmtId="0" fontId="2" fillId="4" borderId="2" xfId="0" applyFont="1" applyFill="1" applyBorder="1"/>
    <xf numFmtId="0" fontId="2" fillId="5" borderId="2" xfId="0" applyFont="1" applyFill="1" applyBorder="1"/>
    <xf numFmtId="43" fontId="0" fillId="0" borderId="0" xfId="1" applyFont="1"/>
    <xf numFmtId="18" fontId="1" fillId="2" borderId="2" xfId="0" quotePrefix="1" applyNumberFormat="1" applyFont="1" applyFill="1" applyBorder="1" applyAlignment="1">
      <alignment horizontal="center" vertical="top"/>
    </xf>
    <xf numFmtId="15" fontId="1" fillId="2" borderId="7" xfId="0" quotePrefix="1" applyNumberFormat="1" applyFont="1" applyFill="1" applyBorder="1" applyAlignment="1">
      <alignment horizontal="center" vertical="top"/>
    </xf>
    <xf numFmtId="15" fontId="1" fillId="2" borderId="8" xfId="0" quotePrefix="1" applyNumberFormat="1" applyFont="1" applyFill="1" applyBorder="1" applyAlignment="1">
      <alignment horizontal="center" vertical="top"/>
    </xf>
    <xf numFmtId="10" fontId="0" fillId="0" borderId="2" xfId="1" applyNumberFormat="1" applyFont="1" applyBorder="1"/>
    <xf numFmtId="43" fontId="0" fillId="5" borderId="2" xfId="1" applyFont="1" applyFill="1" applyBorder="1"/>
    <xf numFmtId="0" fontId="2" fillId="7" borderId="2" xfId="0" applyFont="1" applyFill="1" applyBorder="1" applyAlignment="1">
      <alignment horizontal="center" vertical="top"/>
    </xf>
    <xf numFmtId="0" fontId="0" fillId="7" borderId="2" xfId="0" applyFill="1" applyBorder="1"/>
    <xf numFmtId="0" fontId="2" fillId="7" borderId="2" xfId="0" applyFont="1" applyFill="1" applyBorder="1" applyAlignment="1">
      <alignment horizontal="left" vertical="top"/>
    </xf>
    <xf numFmtId="43" fontId="0" fillId="7" borderId="2" xfId="1" applyFont="1" applyFill="1" applyBorder="1"/>
    <xf numFmtId="0" fontId="2" fillId="8" borderId="2" xfId="0" applyFont="1" applyFill="1" applyBorder="1" applyAlignment="1">
      <alignment horizontal="center" vertical="top"/>
    </xf>
    <xf numFmtId="0" fontId="0" fillId="8" borderId="2" xfId="0" applyFill="1" applyBorder="1"/>
    <xf numFmtId="0" fontId="2" fillId="8" borderId="2" xfId="0" applyFont="1" applyFill="1" applyBorder="1" applyAlignment="1">
      <alignment horizontal="left" vertical="top"/>
    </xf>
    <xf numFmtId="43" fontId="0" fillId="8" borderId="2" xfId="1" applyFont="1" applyFill="1" applyBorder="1"/>
    <xf numFmtId="43" fontId="2" fillId="7" borderId="2" xfId="1" applyFont="1" applyFill="1" applyBorder="1"/>
    <xf numFmtId="43" fontId="2" fillId="8" borderId="2" xfId="1" applyFont="1" applyFill="1" applyBorder="1"/>
    <xf numFmtId="18" fontId="1" fillId="2" borderId="7" xfId="0" quotePrefix="1" applyNumberFormat="1" applyFont="1" applyFill="1" applyBorder="1" applyAlignment="1">
      <alignment horizontal="center" vertical="top"/>
    </xf>
    <xf numFmtId="43" fontId="2" fillId="0" borderId="7" xfId="1" applyFont="1" applyBorder="1"/>
    <xf numFmtId="43" fontId="2" fillId="7" borderId="7" xfId="1" applyFont="1" applyFill="1" applyBorder="1"/>
    <xf numFmtId="43" fontId="2" fillId="8" borderId="7" xfId="1" applyFont="1" applyFill="1" applyBorder="1"/>
    <xf numFmtId="43" fontId="2" fillId="0" borderId="8" xfId="1" applyFont="1" applyBorder="1"/>
    <xf numFmtId="43" fontId="2" fillId="7" borderId="8" xfId="1" applyFont="1" applyFill="1" applyBorder="1"/>
    <xf numFmtId="43" fontId="2" fillId="8" borderId="8" xfId="1" applyFont="1" applyFill="1" applyBorder="1"/>
    <xf numFmtId="15" fontId="1" fillId="2" borderId="14" xfId="0" quotePrefix="1" applyNumberFormat="1" applyFont="1" applyFill="1" applyBorder="1" applyAlignment="1">
      <alignment horizontal="center" vertical="top"/>
    </xf>
    <xf numFmtId="15" fontId="1" fillId="2" borderId="15" xfId="0" quotePrefix="1" applyNumberFormat="1" applyFont="1" applyFill="1" applyBorder="1" applyAlignment="1">
      <alignment horizontal="center" vertical="top" wrapText="1"/>
    </xf>
    <xf numFmtId="43" fontId="2" fillId="0" borderId="14" xfId="1" applyFont="1" applyBorder="1"/>
    <xf numFmtId="43" fontId="2" fillId="0" borderId="15" xfId="1" applyFont="1" applyBorder="1"/>
    <xf numFmtId="43" fontId="0" fillId="0" borderId="14" xfId="1" applyFont="1" applyBorder="1"/>
    <xf numFmtId="43" fontId="2" fillId="7" borderId="14" xfId="1" applyFont="1" applyFill="1" applyBorder="1"/>
    <xf numFmtId="43" fontId="2" fillId="7" borderId="15" xfId="1" applyFont="1" applyFill="1" applyBorder="1"/>
    <xf numFmtId="43" fontId="2" fillId="8" borderId="14" xfId="1" applyFont="1" applyFill="1" applyBorder="1"/>
    <xf numFmtId="43" fontId="2" fillId="8" borderId="15" xfId="1" applyFont="1" applyFill="1" applyBorder="1"/>
    <xf numFmtId="0" fontId="2" fillId="9" borderId="2" xfId="0" applyFont="1" applyFill="1" applyBorder="1"/>
    <xf numFmtId="10" fontId="4" fillId="0" borderId="2" xfId="1" applyNumberFormat="1" applyFont="1" applyBorder="1"/>
    <xf numFmtId="0" fontId="5" fillId="4" borderId="2" xfId="0" applyFont="1" applyFill="1" applyBorder="1"/>
    <xf numFmtId="43" fontId="0" fillId="7" borderId="7" xfId="1" applyFont="1" applyFill="1" applyBorder="1"/>
    <xf numFmtId="43" fontId="0" fillId="8" borderId="7" xfId="1" applyFont="1" applyFill="1" applyBorder="1"/>
    <xf numFmtId="43" fontId="0" fillId="0" borderId="8" xfId="1" applyFont="1" applyBorder="1"/>
    <xf numFmtId="43" fontId="0" fillId="7" borderId="8" xfId="1" applyFont="1" applyFill="1" applyBorder="1"/>
    <xf numFmtId="43" fontId="0" fillId="8" borderId="8" xfId="1" applyFont="1" applyFill="1" applyBorder="1"/>
    <xf numFmtId="18" fontId="1" fillId="2" borderId="14" xfId="0" quotePrefix="1" applyNumberFormat="1" applyFont="1" applyFill="1" applyBorder="1" applyAlignment="1">
      <alignment horizontal="center" vertical="top"/>
    </xf>
    <xf numFmtId="15" fontId="1" fillId="2" borderId="15" xfId="0" quotePrefix="1" applyNumberFormat="1" applyFont="1" applyFill="1" applyBorder="1" applyAlignment="1">
      <alignment horizontal="center" vertical="top"/>
    </xf>
    <xf numFmtId="10" fontId="0" fillId="0" borderId="15" xfId="1" applyNumberFormat="1" applyFont="1" applyBorder="1"/>
    <xf numFmtId="43" fontId="0" fillId="7" borderId="14" xfId="1" applyFont="1" applyFill="1" applyBorder="1"/>
    <xf numFmtId="43" fontId="0" fillId="7" borderId="15" xfId="1" applyFont="1" applyFill="1" applyBorder="1"/>
    <xf numFmtId="43" fontId="0" fillId="8" borderId="14" xfId="1" applyFont="1" applyFill="1" applyBorder="1"/>
    <xf numFmtId="43" fontId="0" fillId="8" borderId="15" xfId="1" applyFont="1" applyFill="1" applyBorder="1"/>
    <xf numFmtId="43" fontId="0" fillId="0" borderId="18" xfId="1" applyFont="1" applyBorder="1"/>
    <xf numFmtId="10" fontId="0" fillId="0" borderId="21" xfId="1" applyNumberFormat="1" applyFont="1" applyBorder="1"/>
    <xf numFmtId="10" fontId="0" fillId="0" borderId="19" xfId="1" applyNumberFormat="1" applyFont="1" applyBorder="1"/>
    <xf numFmtId="18" fontId="1" fillId="2" borderId="8" xfId="0" quotePrefix="1" applyNumberFormat="1" applyFont="1" applyFill="1" applyBorder="1" applyAlignment="1">
      <alignment horizontal="center" vertical="top"/>
    </xf>
    <xf numFmtId="43" fontId="0" fillId="0" borderId="22" xfId="1" applyFont="1" applyBorder="1"/>
    <xf numFmtId="15" fontId="1" fillId="2" borderId="24" xfId="0" quotePrefix="1" applyNumberFormat="1" applyFont="1" applyFill="1" applyBorder="1" applyAlignment="1">
      <alignment horizontal="center" vertical="top"/>
    </xf>
    <xf numFmtId="15" fontId="1" fillId="2" borderId="25" xfId="0" quotePrefix="1" applyNumberFormat="1" applyFont="1" applyFill="1" applyBorder="1" applyAlignment="1">
      <alignment horizontal="center" vertical="top"/>
    </xf>
    <xf numFmtId="43" fontId="0" fillId="0" borderId="7" xfId="1" applyFont="1" applyBorder="1"/>
    <xf numFmtId="18" fontId="1" fillId="2" borderId="26" xfId="0" quotePrefix="1" applyNumberFormat="1" applyFont="1" applyFill="1" applyBorder="1" applyAlignment="1">
      <alignment horizontal="center" vertical="top"/>
    </xf>
    <xf numFmtId="43" fontId="5" fillId="0" borderId="14" xfId="1" applyFont="1" applyBorder="1"/>
    <xf numFmtId="15" fontId="1" fillId="2" borderId="11" xfId="0" quotePrefix="1" applyNumberFormat="1" applyFont="1" applyFill="1" applyBorder="1" applyAlignment="1">
      <alignment horizontal="center" vertical="top"/>
    </xf>
    <xf numFmtId="18" fontId="1" fillId="2" borderId="33" xfId="0" quotePrefix="1" applyNumberFormat="1" applyFont="1" applyFill="1" applyBorder="1" applyAlignment="1">
      <alignment horizontal="center" vertical="top"/>
    </xf>
    <xf numFmtId="10" fontId="0" fillId="0" borderId="8" xfId="1" applyNumberFormat="1" applyFont="1" applyBorder="1"/>
    <xf numFmtId="10" fontId="4" fillId="0" borderId="8" xfId="1" applyNumberFormat="1" applyFont="1" applyBorder="1"/>
    <xf numFmtId="10" fontId="0" fillId="0" borderId="17" xfId="1" applyNumberFormat="1" applyFont="1" applyBorder="1"/>
    <xf numFmtId="43" fontId="0" fillId="7" borderId="17" xfId="1" applyFont="1" applyFill="1" applyBorder="1"/>
    <xf numFmtId="9" fontId="0" fillId="0" borderId="17" xfId="1" applyNumberFormat="1" applyFont="1" applyBorder="1"/>
    <xf numFmtId="43" fontId="0" fillId="8" borderId="17" xfId="1" applyFont="1" applyFill="1" applyBorder="1"/>
    <xf numFmtId="10" fontId="0" fillId="0" borderId="22" xfId="1" applyNumberFormat="1" applyFont="1" applyBorder="1"/>
    <xf numFmtId="10" fontId="0" fillId="0" borderId="34" xfId="1" applyNumberFormat="1" applyFont="1" applyBorder="1"/>
    <xf numFmtId="43" fontId="2" fillId="7" borderId="11" xfId="1" applyFont="1" applyFill="1" applyBorder="1"/>
    <xf numFmtId="43" fontId="2" fillId="7" borderId="16" xfId="1" applyFont="1" applyFill="1" applyBorder="1"/>
    <xf numFmtId="0" fontId="0" fillId="10" borderId="2" xfId="0" applyFill="1" applyBorder="1"/>
    <xf numFmtId="0" fontId="5" fillId="10" borderId="2" xfId="0" applyFont="1" applyFill="1" applyBorder="1"/>
    <xf numFmtId="15" fontId="1" fillId="2" borderId="17" xfId="0" quotePrefix="1" applyNumberFormat="1" applyFont="1" applyFill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0" fillId="4" borderId="2" xfId="0" applyFill="1" applyBorder="1"/>
    <xf numFmtId="10" fontId="0" fillId="7" borderId="8" xfId="1" applyNumberFormat="1" applyFont="1" applyFill="1" applyBorder="1"/>
    <xf numFmtId="43" fontId="2" fillId="7" borderId="17" xfId="1" applyFont="1" applyFill="1" applyBorder="1"/>
    <xf numFmtId="10" fontId="0" fillId="7" borderId="2" xfId="1" applyNumberFormat="1" applyFont="1" applyFill="1" applyBorder="1"/>
    <xf numFmtId="10" fontId="0" fillId="7" borderId="15" xfId="1" applyNumberFormat="1" applyFont="1" applyFill="1" applyBorder="1"/>
    <xf numFmtId="10" fontId="0" fillId="7" borderId="17" xfId="1" applyNumberFormat="1" applyFont="1" applyFill="1" applyBorder="1"/>
    <xf numFmtId="10" fontId="2" fillId="7" borderId="2" xfId="1" applyNumberFormat="1" applyFont="1" applyFill="1" applyBorder="1"/>
    <xf numFmtId="10" fontId="2" fillId="7" borderId="15" xfId="1" applyNumberFormat="1" applyFont="1" applyFill="1" applyBorder="1"/>
    <xf numFmtId="10" fontId="3" fillId="0" borderId="2" xfId="1" applyNumberFormat="1" applyFont="1" applyBorder="1"/>
    <xf numFmtId="10" fontId="6" fillId="0" borderId="2" xfId="1" applyNumberFormat="1" applyFont="1" applyBorder="1"/>
    <xf numFmtId="15" fontId="1" fillId="2" borderId="5" xfId="0" quotePrefix="1" applyNumberFormat="1" applyFont="1" applyFill="1" applyBorder="1" applyAlignment="1">
      <alignment horizontal="center" vertical="center"/>
    </xf>
    <xf numFmtId="15" fontId="1" fillId="2" borderId="33" xfId="0" quotePrefix="1" applyNumberFormat="1" applyFont="1" applyFill="1" applyBorder="1" applyAlignment="1">
      <alignment horizontal="center" vertical="center"/>
    </xf>
    <xf numFmtId="15" fontId="1" fillId="2" borderId="20" xfId="0" quotePrefix="1" applyNumberFormat="1" applyFont="1" applyFill="1" applyBorder="1" applyAlignment="1">
      <alignment horizontal="center" vertical="center"/>
    </xf>
    <xf numFmtId="15" fontId="1" fillId="2" borderId="24" xfId="0" quotePrefix="1" applyNumberFormat="1" applyFont="1" applyFill="1" applyBorder="1" applyAlignment="1">
      <alignment horizontal="center" vertical="center"/>
    </xf>
    <xf numFmtId="15" fontId="1" fillId="2" borderId="25" xfId="0" quotePrefix="1" applyNumberFormat="1" applyFont="1" applyFill="1" applyBorder="1" applyAlignment="1">
      <alignment horizontal="center" vertical="center" wrapText="1"/>
    </xf>
    <xf numFmtId="43" fontId="4" fillId="0" borderId="7" xfId="1" applyFont="1" applyBorder="1"/>
    <xf numFmtId="15" fontId="1" fillId="2" borderId="39" xfId="0" quotePrefix="1" applyNumberFormat="1" applyFont="1" applyFill="1" applyBorder="1" applyAlignment="1">
      <alignment horizontal="center" vertical="center"/>
    </xf>
    <xf numFmtId="15" fontId="1" fillId="2" borderId="9" xfId="0" quotePrefix="1" applyNumberFormat="1" applyFont="1" applyFill="1" applyBorder="1" applyAlignment="1">
      <alignment horizontal="center" vertical="center"/>
    </xf>
    <xf numFmtId="15" fontId="1" fillId="2" borderId="40" xfId="0" quotePrefix="1" applyNumberFormat="1" applyFont="1" applyFill="1" applyBorder="1" applyAlignment="1">
      <alignment horizontal="center" vertical="center" wrapText="1"/>
    </xf>
    <xf numFmtId="15" fontId="1" fillId="2" borderId="37" xfId="0" quotePrefix="1" applyNumberFormat="1" applyFont="1" applyFill="1" applyBorder="1" applyAlignment="1">
      <alignment horizontal="center" vertical="center"/>
    </xf>
    <xf numFmtId="15" fontId="1" fillId="2" borderId="9" xfId="0" quotePrefix="1" applyNumberFormat="1" applyFont="1" applyFill="1" applyBorder="1" applyAlignment="1">
      <alignment horizontal="center" vertical="top"/>
    </xf>
    <xf numFmtId="15" fontId="1" fillId="2" borderId="9" xfId="0" quotePrefix="1" applyNumberFormat="1" applyFont="1" applyFill="1" applyBorder="1" applyAlignment="1">
      <alignment horizontal="center" vertical="top" wrapText="1"/>
    </xf>
    <xf numFmtId="43" fontId="3" fillId="7" borderId="14" xfId="1" applyFont="1" applyFill="1" applyBorder="1"/>
    <xf numFmtId="43" fontId="3" fillId="7" borderId="2" xfId="1" applyFont="1" applyFill="1" applyBorder="1"/>
    <xf numFmtId="43" fontId="3" fillId="7" borderId="15" xfId="1" applyFont="1" applyFill="1" applyBorder="1"/>
    <xf numFmtId="43" fontId="3" fillId="7" borderId="7" xfId="1" applyFont="1" applyFill="1" applyBorder="1"/>
    <xf numFmtId="43" fontId="3" fillId="7" borderId="8" xfId="1" applyFont="1" applyFill="1" applyBorder="1"/>
    <xf numFmtId="43" fontId="3" fillId="0" borderId="14" xfId="1" applyFont="1" applyBorder="1"/>
    <xf numFmtId="43" fontId="3" fillId="0" borderId="2" xfId="1" applyFont="1" applyBorder="1"/>
    <xf numFmtId="43" fontId="3" fillId="0" borderId="15" xfId="1" applyFont="1" applyBorder="1"/>
    <xf numFmtId="43" fontId="3" fillId="0" borderId="15" xfId="1" applyFont="1" applyFill="1" applyBorder="1"/>
    <xf numFmtId="0" fontId="0" fillId="0" borderId="3" xfId="0" applyBorder="1"/>
    <xf numFmtId="43" fontId="0" fillId="0" borderId="0" xfId="0" applyNumberFormat="1"/>
    <xf numFmtId="2" fontId="0" fillId="0" borderId="2" xfId="0" applyNumberFormat="1" applyBorder="1"/>
    <xf numFmtId="0" fontId="0" fillId="0" borderId="0" xfId="0" applyAlignment="1">
      <alignment horizontal="center" vertical="center"/>
    </xf>
    <xf numFmtId="18" fontId="1" fillId="2" borderId="7" xfId="0" quotePrefix="1" applyNumberFormat="1" applyFont="1" applyFill="1" applyBorder="1" applyAlignment="1">
      <alignment horizontal="center" vertical="center"/>
    </xf>
    <xf numFmtId="15" fontId="1" fillId="2" borderId="7" xfId="0" quotePrefix="1" applyNumberFormat="1" applyFont="1" applyFill="1" applyBorder="1" applyAlignment="1">
      <alignment horizontal="center" vertical="center" wrapText="1"/>
    </xf>
    <xf numFmtId="43" fontId="0" fillId="7" borderId="7" xfId="1" applyFont="1" applyFill="1" applyBorder="1" applyAlignment="1">
      <alignment horizontal="center" vertical="center"/>
    </xf>
    <xf numFmtId="43" fontId="0" fillId="0" borderId="7" xfId="1" applyFont="1" applyBorder="1" applyAlignment="1">
      <alignment horizontal="center" vertical="center"/>
    </xf>
    <xf numFmtId="43" fontId="0" fillId="7" borderId="2" xfId="1" applyFont="1" applyFill="1" applyBorder="1" applyAlignment="1">
      <alignment horizontal="center" vertical="center"/>
    </xf>
    <xf numFmtId="43" fontId="4" fillId="0" borderId="7" xfId="1" applyFont="1" applyBorder="1" applyAlignment="1">
      <alignment horizontal="center" vertical="center"/>
    </xf>
    <xf numFmtId="43" fontId="0" fillId="8" borderId="2" xfId="1" applyFon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8" fillId="4" borderId="2" xfId="0" applyFont="1" applyFill="1" applyBorder="1"/>
    <xf numFmtId="43" fontId="3" fillId="0" borderId="7" xfId="1" applyFont="1" applyBorder="1"/>
    <xf numFmtId="43" fontId="3" fillId="0" borderId="8" xfId="1" applyFont="1" applyBorder="1"/>
    <xf numFmtId="43" fontId="3" fillId="0" borderId="7" xfId="1" applyFont="1" applyFill="1" applyBorder="1"/>
    <xf numFmtId="18" fontId="1" fillId="2" borderId="16" xfId="0" quotePrefix="1" applyNumberFormat="1" applyFont="1" applyFill="1" applyBorder="1" applyAlignment="1">
      <alignment horizontal="center" vertical="top"/>
    </xf>
    <xf numFmtId="18" fontId="1" fillId="2" borderId="11" xfId="0" quotePrefix="1" applyNumberFormat="1" applyFont="1" applyFill="1" applyBorder="1" applyAlignment="1">
      <alignment horizontal="center" vertical="top"/>
    </xf>
    <xf numFmtId="18" fontId="1" fillId="2" borderId="17" xfId="0" quotePrefix="1" applyNumberFormat="1" applyFont="1" applyFill="1" applyBorder="1" applyAlignment="1">
      <alignment horizontal="center" vertical="top"/>
    </xf>
    <xf numFmtId="15" fontId="1" fillId="2" borderId="11" xfId="0" quotePrefix="1" applyNumberFormat="1" applyFont="1" applyFill="1" applyBorder="1" applyAlignment="1">
      <alignment horizontal="center" vertical="top" wrapText="1"/>
    </xf>
    <xf numFmtId="18" fontId="1" fillId="2" borderId="16" xfId="0" quotePrefix="1" applyNumberFormat="1" applyFont="1" applyFill="1" applyBorder="1" applyAlignment="1">
      <alignment horizontal="center" vertical="top" wrapText="1"/>
    </xf>
    <xf numFmtId="18" fontId="1" fillId="2" borderId="11" xfId="0" quotePrefix="1" applyNumberFormat="1" applyFont="1" applyFill="1" applyBorder="1" applyAlignment="1">
      <alignment horizontal="center" vertical="top" wrapText="1"/>
    </xf>
    <xf numFmtId="18" fontId="1" fillId="2" borderId="8" xfId="0" quotePrefix="1" applyNumberFormat="1" applyFont="1" applyFill="1" applyBorder="1" applyAlignment="1">
      <alignment horizontal="center" vertical="top" wrapText="1"/>
    </xf>
    <xf numFmtId="15" fontId="1" fillId="2" borderId="17" xfId="0" quotePrefix="1" applyNumberFormat="1" applyFont="1" applyFill="1" applyBorder="1" applyAlignment="1">
      <alignment horizontal="center" vertical="top" wrapText="1"/>
    </xf>
    <xf numFmtId="0" fontId="2" fillId="11" borderId="2" xfId="0" applyFont="1" applyFill="1" applyBorder="1" applyAlignment="1">
      <alignment horizontal="center" vertical="top"/>
    </xf>
    <xf numFmtId="0" fontId="0" fillId="11" borderId="2" xfId="0" applyFill="1" applyBorder="1"/>
    <xf numFmtId="43" fontId="0" fillId="0" borderId="6" xfId="1" applyFont="1" applyFill="1" applyBorder="1"/>
    <xf numFmtId="43" fontId="0" fillId="0" borderId="7" xfId="1" applyFont="1" applyFill="1" applyBorder="1" applyAlignment="1">
      <alignment horizontal="center" vertical="center"/>
    </xf>
    <xf numFmtId="0" fontId="7" fillId="7" borderId="2" xfId="0" applyFont="1" applyFill="1" applyBorder="1"/>
    <xf numFmtId="18" fontId="1" fillId="6" borderId="0" xfId="0" quotePrefix="1" applyNumberFormat="1" applyFont="1" applyFill="1" applyAlignment="1">
      <alignment vertical="center"/>
    </xf>
    <xf numFmtId="43" fontId="4" fillId="7" borderId="7" xfId="1" applyFont="1" applyFill="1" applyBorder="1" applyAlignment="1">
      <alignment horizontal="center" vertical="center"/>
    </xf>
    <xf numFmtId="0" fontId="0" fillId="7" borderId="0" xfId="0" applyFill="1"/>
    <xf numFmtId="10" fontId="4" fillId="7" borderId="2" xfId="1" applyNumberFormat="1" applyFont="1" applyFill="1" applyBorder="1"/>
    <xf numFmtId="43" fontId="0" fillId="7" borderId="0" xfId="1" applyFont="1" applyFill="1"/>
    <xf numFmtId="43" fontId="5" fillId="7" borderId="14" xfId="1" applyFont="1" applyFill="1" applyBorder="1"/>
    <xf numFmtId="43" fontId="3" fillId="0" borderId="2" xfId="1" applyFont="1" applyFill="1" applyBorder="1"/>
    <xf numFmtId="0" fontId="7" fillId="6" borderId="10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15" fontId="1" fillId="2" borderId="7" xfId="0" quotePrefix="1" applyNumberFormat="1" applyFont="1" applyFill="1" applyBorder="1" applyAlignment="1">
      <alignment horizontal="center" vertical="top"/>
    </xf>
    <xf numFmtId="15" fontId="1" fillId="2" borderId="8" xfId="0" quotePrefix="1" applyNumberFormat="1" applyFont="1" applyFill="1" applyBorder="1" applyAlignment="1">
      <alignment horizontal="center" vertical="top"/>
    </xf>
    <xf numFmtId="0" fontId="7" fillId="6" borderId="35" xfId="0" applyFont="1" applyFill="1" applyBorder="1" applyAlignment="1">
      <alignment horizontal="center" vertical="center"/>
    </xf>
    <xf numFmtId="0" fontId="7" fillId="6" borderId="38" xfId="0" applyFont="1" applyFill="1" applyBorder="1" applyAlignment="1">
      <alignment horizontal="center" vertical="center"/>
    </xf>
    <xf numFmtId="0" fontId="7" fillId="6" borderId="3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2" fillId="6" borderId="10" xfId="0" applyFont="1" applyFill="1" applyBorder="1" applyAlignment="1">
      <alignment horizontal="center" vertical="center" wrapText="1"/>
    </xf>
    <xf numFmtId="0" fontId="2" fillId="6" borderId="23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0" fillId="6" borderId="10" xfId="0" applyFill="1" applyBorder="1" applyAlignment="1">
      <alignment horizontal="center" vertical="center"/>
    </xf>
    <xf numFmtId="0" fontId="0" fillId="6" borderId="3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37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15" fontId="1" fillId="2" borderId="17" xfId="0" quotePrefix="1" applyNumberFormat="1" applyFont="1" applyFill="1" applyBorder="1" applyAlignment="1">
      <alignment horizontal="center" vertical="top"/>
    </xf>
    <xf numFmtId="43" fontId="0" fillId="6" borderId="10" xfId="1" applyFont="1" applyFill="1" applyBorder="1" applyAlignment="1">
      <alignment horizontal="center" vertical="center"/>
    </xf>
    <xf numFmtId="43" fontId="0" fillId="6" borderId="35" xfId="1" applyFont="1" applyFill="1" applyBorder="1" applyAlignment="1">
      <alignment horizontal="center" vertical="center"/>
    </xf>
    <xf numFmtId="43" fontId="0" fillId="6" borderId="6" xfId="1" applyFont="1" applyFill="1" applyBorder="1" applyAlignment="1">
      <alignment horizontal="center" vertical="center"/>
    </xf>
    <xf numFmtId="43" fontId="0" fillId="6" borderId="38" xfId="1" applyFont="1" applyFill="1" applyBorder="1" applyAlignment="1">
      <alignment horizontal="center" vertical="center"/>
    </xf>
    <xf numFmtId="43" fontId="0" fillId="6" borderId="4" xfId="1" applyFont="1" applyFill="1" applyBorder="1" applyAlignment="1">
      <alignment horizontal="center" vertical="center"/>
    </xf>
    <xf numFmtId="43" fontId="0" fillId="6" borderId="37" xfId="1" applyFont="1" applyFill="1" applyBorder="1" applyAlignment="1">
      <alignment horizontal="center" vertical="center"/>
    </xf>
    <xf numFmtId="43" fontId="2" fillId="6" borderId="10" xfId="1" applyFont="1" applyFill="1" applyBorder="1" applyAlignment="1">
      <alignment horizontal="center" vertical="center"/>
    </xf>
    <xf numFmtId="43" fontId="2" fillId="6" borderId="23" xfId="1" applyFont="1" applyFill="1" applyBorder="1" applyAlignment="1">
      <alignment horizontal="center" vertical="center"/>
    </xf>
    <xf numFmtId="43" fontId="2" fillId="6" borderId="6" xfId="1" applyFont="1" applyFill="1" applyBorder="1" applyAlignment="1">
      <alignment horizontal="center" vertical="center"/>
    </xf>
    <xf numFmtId="43" fontId="2" fillId="6" borderId="0" xfId="1" applyFont="1" applyFill="1" applyBorder="1" applyAlignment="1">
      <alignment horizontal="center" vertical="center"/>
    </xf>
    <xf numFmtId="15" fontId="1" fillId="2" borderId="11" xfId="0" quotePrefix="1" applyNumberFormat="1" applyFont="1" applyFill="1" applyBorder="1" applyAlignment="1">
      <alignment horizontal="center" vertical="top"/>
    </xf>
    <xf numFmtId="43" fontId="2" fillId="6" borderId="35" xfId="1" applyFont="1" applyFill="1" applyBorder="1" applyAlignment="1">
      <alignment horizontal="center" vertical="center"/>
    </xf>
    <xf numFmtId="43" fontId="2" fillId="6" borderId="38" xfId="1" applyFont="1" applyFill="1" applyBorder="1" applyAlignment="1">
      <alignment horizontal="center" vertical="center"/>
    </xf>
    <xf numFmtId="43" fontId="2" fillId="6" borderId="4" xfId="1" applyFont="1" applyFill="1" applyBorder="1" applyAlignment="1">
      <alignment horizontal="center" vertical="center"/>
    </xf>
    <xf numFmtId="43" fontId="2" fillId="6" borderId="5" xfId="1" applyFont="1" applyFill="1" applyBorder="1" applyAlignment="1">
      <alignment horizontal="center" vertical="center"/>
    </xf>
    <xf numFmtId="43" fontId="2" fillId="6" borderId="37" xfId="1" applyFont="1" applyFill="1" applyBorder="1" applyAlignment="1">
      <alignment horizontal="center" vertical="center"/>
    </xf>
    <xf numFmtId="15" fontId="1" fillId="2" borderId="7" xfId="0" quotePrefix="1" applyNumberFormat="1" applyFont="1" applyFill="1" applyBorder="1" applyAlignment="1">
      <alignment horizontal="center" vertical="center"/>
    </xf>
    <xf numFmtId="15" fontId="1" fillId="2" borderId="11" xfId="0" quotePrefix="1" applyNumberFormat="1" applyFont="1" applyFill="1" applyBorder="1" applyAlignment="1">
      <alignment horizontal="center" vertical="center"/>
    </xf>
    <xf numFmtId="43" fontId="2" fillId="6" borderId="10" xfId="1" applyFont="1" applyFill="1" applyBorder="1" applyAlignment="1">
      <alignment horizontal="center" vertical="center" wrapText="1"/>
    </xf>
    <xf numFmtId="43" fontId="2" fillId="6" borderId="6" xfId="1" applyFont="1" applyFill="1" applyBorder="1" applyAlignment="1">
      <alignment horizontal="center" vertical="center" wrapText="1"/>
    </xf>
    <xf numFmtId="43" fontId="2" fillId="6" borderId="4" xfId="1" applyFont="1" applyFill="1" applyBorder="1" applyAlignment="1">
      <alignment horizontal="center" vertical="center" wrapText="1"/>
    </xf>
    <xf numFmtId="15" fontId="1" fillId="2" borderId="12" xfId="0" quotePrefix="1" applyNumberFormat="1" applyFont="1" applyFill="1" applyBorder="1" applyAlignment="1">
      <alignment horizontal="center" vertical="top"/>
    </xf>
    <xf numFmtId="15" fontId="1" fillId="2" borderId="20" xfId="0" quotePrefix="1" applyNumberFormat="1" applyFont="1" applyFill="1" applyBorder="1" applyAlignment="1">
      <alignment horizontal="center" vertical="top"/>
    </xf>
    <xf numFmtId="15" fontId="1" fillId="2" borderId="13" xfId="0" quotePrefix="1" applyNumberFormat="1" applyFont="1" applyFill="1" applyBorder="1" applyAlignment="1">
      <alignment horizontal="center" vertical="top"/>
    </xf>
    <xf numFmtId="15" fontId="1" fillId="2" borderId="16" xfId="0" quotePrefix="1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43" fontId="2" fillId="6" borderId="1" xfId="1" applyFont="1" applyFill="1" applyBorder="1" applyAlignment="1">
      <alignment horizontal="center" vertical="center" wrapText="1"/>
    </xf>
    <xf numFmtId="43" fontId="2" fillId="6" borderId="3" xfId="1" applyFont="1" applyFill="1" applyBorder="1" applyAlignment="1">
      <alignment horizontal="center" vertical="center" wrapText="1"/>
    </xf>
    <xf numFmtId="43" fontId="2" fillId="6" borderId="9" xfId="1" applyFont="1" applyFill="1" applyBorder="1" applyAlignment="1">
      <alignment horizontal="center" vertical="center" wrapText="1"/>
    </xf>
    <xf numFmtId="15" fontId="1" fillId="2" borderId="23" xfId="0" quotePrefix="1" applyNumberFormat="1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43" fontId="0" fillId="6" borderId="23" xfId="1" applyFont="1" applyFill="1" applyBorder="1" applyAlignment="1">
      <alignment horizontal="center" vertical="center"/>
    </xf>
    <xf numFmtId="43" fontId="0" fillId="6" borderId="0" xfId="1" applyFont="1" applyFill="1" applyBorder="1" applyAlignment="1">
      <alignment horizontal="center" vertical="center"/>
    </xf>
    <xf numFmtId="43" fontId="0" fillId="6" borderId="5" xfId="1" applyFont="1" applyFill="1" applyBorder="1" applyAlignment="1">
      <alignment horizontal="center" vertical="center"/>
    </xf>
    <xf numFmtId="15" fontId="1" fillId="2" borderId="23" xfId="0" quotePrefix="1" applyNumberFormat="1" applyFont="1" applyFill="1" applyBorder="1" applyAlignment="1">
      <alignment horizontal="center" vertical="center"/>
    </xf>
    <xf numFmtId="15" fontId="1" fillId="2" borderId="5" xfId="0" quotePrefix="1" applyNumberFormat="1" applyFont="1" applyFill="1" applyBorder="1" applyAlignment="1">
      <alignment horizontal="center" vertical="center"/>
    </xf>
    <xf numFmtId="43" fontId="2" fillId="6" borderId="1" xfId="1" applyFont="1" applyFill="1" applyBorder="1" applyAlignment="1">
      <alignment horizontal="center" vertical="center"/>
    </xf>
    <xf numFmtId="43" fontId="2" fillId="6" borderId="3" xfId="1" applyFont="1" applyFill="1" applyBorder="1" applyAlignment="1">
      <alignment horizontal="center" vertical="center"/>
    </xf>
    <xf numFmtId="43" fontId="2" fillId="6" borderId="9" xfId="1" applyFont="1" applyFill="1" applyBorder="1" applyAlignment="1">
      <alignment horizontal="center" vertical="center"/>
    </xf>
    <xf numFmtId="43" fontId="2" fillId="6" borderId="27" xfId="1" applyFont="1" applyFill="1" applyBorder="1" applyAlignment="1">
      <alignment horizontal="center" vertical="center"/>
    </xf>
    <xf numFmtId="43" fontId="2" fillId="6" borderId="29" xfId="1" applyFont="1" applyFill="1" applyBorder="1" applyAlignment="1">
      <alignment horizontal="center" vertical="center"/>
    </xf>
    <xf numFmtId="43" fontId="2" fillId="6" borderId="28" xfId="1" applyFont="1" applyFill="1" applyBorder="1" applyAlignment="1">
      <alignment horizontal="center" vertical="center"/>
    </xf>
    <xf numFmtId="43" fontId="2" fillId="6" borderId="30" xfId="1" applyFont="1" applyFill="1" applyBorder="1" applyAlignment="1">
      <alignment horizontal="center" vertical="center"/>
    </xf>
    <xf numFmtId="43" fontId="2" fillId="6" borderId="31" xfId="1" applyFont="1" applyFill="1" applyBorder="1" applyAlignment="1">
      <alignment horizontal="center" vertical="center"/>
    </xf>
    <xf numFmtId="43" fontId="2" fillId="6" borderId="32" xfId="1" applyFont="1" applyFill="1" applyBorder="1" applyAlignment="1">
      <alignment horizontal="center" vertical="center"/>
    </xf>
    <xf numFmtId="18" fontId="1" fillId="2" borderId="7" xfId="0" quotePrefix="1" applyNumberFormat="1" applyFont="1" applyFill="1" applyBorder="1" applyAlignment="1">
      <alignment horizontal="center" vertical="top" wrapText="1"/>
    </xf>
    <xf numFmtId="18" fontId="1" fillId="2" borderId="11" xfId="0" quotePrefix="1" applyNumberFormat="1" applyFont="1" applyFill="1" applyBorder="1" applyAlignment="1">
      <alignment horizontal="center" vertical="top" wrapText="1"/>
    </xf>
    <xf numFmtId="18" fontId="1" fillId="2" borderId="8" xfId="0" quotePrefix="1" applyNumberFormat="1" applyFont="1" applyFill="1" applyBorder="1" applyAlignment="1">
      <alignment horizontal="center" vertical="top" wrapText="1"/>
    </xf>
    <xf numFmtId="43" fontId="3" fillId="6" borderId="23" xfId="1" applyFont="1" applyFill="1" applyBorder="1" applyAlignment="1">
      <alignment horizontal="center" vertical="center"/>
    </xf>
    <xf numFmtId="43" fontId="3" fillId="6" borderId="0" xfId="1" applyFont="1" applyFill="1" applyBorder="1" applyAlignment="1">
      <alignment horizontal="center" vertical="center"/>
    </xf>
    <xf numFmtId="15" fontId="1" fillId="2" borderId="41" xfId="0" quotePrefix="1" applyNumberFormat="1" applyFont="1" applyFill="1" applyBorder="1" applyAlignment="1">
      <alignment horizontal="center" vertical="top" wrapText="1"/>
    </xf>
    <xf numFmtId="15" fontId="1" fillId="2" borderId="42" xfId="0" quotePrefix="1" applyNumberFormat="1" applyFont="1" applyFill="1" applyBorder="1" applyAlignment="1">
      <alignment horizontal="center" vertical="top" wrapText="1"/>
    </xf>
    <xf numFmtId="15" fontId="1" fillId="2" borderId="22" xfId="0" quotePrefix="1" applyNumberFormat="1" applyFont="1" applyFill="1" applyBorder="1" applyAlignment="1">
      <alignment horizontal="center" vertical="top" wrapText="1"/>
    </xf>
    <xf numFmtId="15" fontId="1" fillId="2" borderId="7" xfId="0" quotePrefix="1" applyNumberFormat="1" applyFont="1" applyFill="1" applyBorder="1" applyAlignment="1">
      <alignment horizontal="center" vertical="center" wrapText="1"/>
    </xf>
    <xf numFmtId="15" fontId="1" fillId="2" borderId="11" xfId="0" quotePrefix="1" applyNumberFormat="1" applyFont="1" applyFill="1" applyBorder="1" applyAlignment="1">
      <alignment horizontal="center" vertical="center" wrapText="1"/>
    </xf>
    <xf numFmtId="15" fontId="1" fillId="2" borderId="8" xfId="0" quotePrefix="1" applyNumberFormat="1" applyFont="1" applyFill="1" applyBorder="1" applyAlignment="1">
      <alignment horizontal="center" vertical="center" wrapText="1"/>
    </xf>
    <xf numFmtId="18" fontId="1" fillId="2" borderId="16" xfId="0" quotePrefix="1" applyNumberFormat="1" applyFont="1" applyFill="1" applyBorder="1" applyAlignment="1">
      <alignment horizontal="center" vertical="top" wrapText="1"/>
    </xf>
    <xf numFmtId="18" fontId="1" fillId="2" borderId="17" xfId="0" quotePrefix="1" applyNumberFormat="1" applyFont="1" applyFill="1" applyBorder="1" applyAlignment="1">
      <alignment horizontal="center" vertical="top" wrapText="1"/>
    </xf>
    <xf numFmtId="18" fontId="1" fillId="2" borderId="16" xfId="0" quotePrefix="1" applyNumberFormat="1" applyFont="1" applyFill="1" applyBorder="1" applyAlignment="1">
      <alignment horizontal="center" vertical="top"/>
    </xf>
    <xf numFmtId="18" fontId="1" fillId="2" borderId="11" xfId="0" quotePrefix="1" applyNumberFormat="1" applyFont="1" applyFill="1" applyBorder="1" applyAlignment="1">
      <alignment horizontal="center" vertical="top"/>
    </xf>
    <xf numFmtId="18" fontId="1" fillId="2" borderId="17" xfId="0" quotePrefix="1" applyNumberFormat="1" applyFont="1" applyFill="1" applyBorder="1" applyAlignment="1">
      <alignment horizontal="center" vertical="top"/>
    </xf>
    <xf numFmtId="43" fontId="3" fillId="6" borderId="27" xfId="1" applyFont="1" applyFill="1" applyBorder="1" applyAlignment="1">
      <alignment horizontal="center" vertical="center"/>
    </xf>
    <xf numFmtId="43" fontId="3" fillId="6" borderId="29" xfId="1" applyFont="1" applyFill="1" applyBorder="1" applyAlignment="1">
      <alignment horizontal="center" vertical="center"/>
    </xf>
    <xf numFmtId="43" fontId="3" fillId="6" borderId="28" xfId="1" applyFont="1" applyFill="1" applyBorder="1" applyAlignment="1">
      <alignment horizontal="center" vertical="center"/>
    </xf>
    <xf numFmtId="43" fontId="3" fillId="6" borderId="30" xfId="1" applyFont="1" applyFill="1" applyBorder="1" applyAlignment="1">
      <alignment horizontal="center" vertical="center"/>
    </xf>
    <xf numFmtId="18" fontId="1" fillId="2" borderId="16" xfId="0" quotePrefix="1" applyNumberFormat="1" applyFont="1" applyFill="1" applyBorder="1" applyAlignment="1">
      <alignment horizontal="center" vertical="center"/>
    </xf>
    <xf numFmtId="18" fontId="1" fillId="2" borderId="11" xfId="0" quotePrefix="1" applyNumberFormat="1" applyFont="1" applyFill="1" applyBorder="1" applyAlignment="1">
      <alignment horizontal="center" vertical="center"/>
    </xf>
    <xf numFmtId="18" fontId="1" fillId="2" borderId="17" xfId="0" quotePrefix="1" applyNumberFormat="1" applyFont="1" applyFill="1" applyBorder="1" applyAlignment="1">
      <alignment horizontal="center" vertical="center"/>
    </xf>
    <xf numFmtId="18" fontId="1" fillId="6" borderId="23" xfId="0" quotePrefix="1" applyNumberFormat="1" applyFont="1" applyFill="1" applyBorder="1" applyAlignment="1">
      <alignment horizontal="center" vertical="center" wrapText="1"/>
    </xf>
    <xf numFmtId="18" fontId="1" fillId="6" borderId="0" xfId="0" quotePrefix="1" applyNumberFormat="1" applyFont="1" applyFill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5" fontId="1" fillId="2" borderId="7" xfId="0" quotePrefix="1" applyNumberFormat="1" applyFont="1" applyFill="1" applyBorder="1" applyAlignment="1">
      <alignment horizontal="center" vertical="top" wrapText="1"/>
    </xf>
    <xf numFmtId="15" fontId="1" fillId="2" borderId="11" xfId="0" quotePrefix="1" applyNumberFormat="1" applyFont="1" applyFill="1" applyBorder="1" applyAlignment="1">
      <alignment horizontal="center" vertical="top" wrapText="1"/>
    </xf>
    <xf numFmtId="15" fontId="1" fillId="2" borderId="8" xfId="0" quotePrefix="1" applyNumberFormat="1" applyFont="1" applyFill="1" applyBorder="1" applyAlignment="1">
      <alignment horizontal="center" vertical="top" wrapText="1"/>
    </xf>
    <xf numFmtId="18" fontId="1" fillId="2" borderId="7" xfId="0" quotePrefix="1" applyNumberFormat="1" applyFont="1" applyFill="1" applyBorder="1" applyAlignment="1">
      <alignment horizontal="center" vertical="top"/>
    </xf>
    <xf numFmtId="18" fontId="1" fillId="2" borderId="8" xfId="0" quotePrefix="1" applyNumberFormat="1" applyFont="1" applyFill="1" applyBorder="1" applyAlignment="1">
      <alignment horizontal="center" vertical="top"/>
    </xf>
    <xf numFmtId="15" fontId="1" fillId="2" borderId="2" xfId="0" quotePrefix="1" applyNumberFormat="1" applyFont="1" applyFill="1" applyBorder="1" applyAlignment="1">
      <alignment horizontal="center" vertical="top" wrapText="1"/>
    </xf>
    <xf numFmtId="43" fontId="0" fillId="6" borderId="2" xfId="1" applyFont="1" applyFill="1" applyBorder="1" applyAlignment="1">
      <alignment horizontal="center" vertical="center"/>
    </xf>
    <xf numFmtId="43" fontId="7" fillId="6" borderId="23" xfId="1" applyFont="1" applyFill="1" applyBorder="1" applyAlignment="1">
      <alignment horizontal="center" vertical="center"/>
    </xf>
    <xf numFmtId="43" fontId="7" fillId="6" borderId="0" xfId="1" applyFont="1" applyFill="1" applyBorder="1" applyAlignment="1">
      <alignment horizontal="center" vertical="center"/>
    </xf>
    <xf numFmtId="15" fontId="1" fillId="2" borderId="2" xfId="0" quotePrefix="1" applyNumberFormat="1" applyFont="1" applyFill="1" applyBorder="1" applyAlignment="1">
      <alignment horizontal="center" vertical="center" wrapText="1"/>
    </xf>
    <xf numFmtId="15" fontId="1" fillId="2" borderId="12" xfId="0" quotePrefix="1" applyNumberFormat="1" applyFont="1" applyFill="1" applyBorder="1" applyAlignment="1">
      <alignment horizontal="center" vertical="top" wrapText="1"/>
    </xf>
    <xf numFmtId="15" fontId="1" fillId="2" borderId="13" xfId="0" quotePrefix="1" applyNumberFormat="1" applyFont="1" applyFill="1" applyBorder="1" applyAlignment="1">
      <alignment horizontal="center" vertical="top" wrapText="1"/>
    </xf>
    <xf numFmtId="15" fontId="1" fillId="2" borderId="16" xfId="0" quotePrefix="1" applyNumberFormat="1" applyFont="1" applyFill="1" applyBorder="1" applyAlignment="1">
      <alignment horizontal="center" vertical="top" wrapText="1"/>
    </xf>
    <xf numFmtId="15" fontId="1" fillId="2" borderId="17" xfId="0" quotePrefix="1" applyNumberFormat="1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5" fontId="1" fillId="2" borderId="20" xfId="0" quotePrefix="1" applyNumberFormat="1" applyFont="1" applyFill="1" applyBorder="1" applyAlignment="1">
      <alignment horizontal="center" vertical="top" wrapText="1"/>
    </xf>
    <xf numFmtId="18" fontId="1" fillId="2" borderId="36" xfId="0" quotePrefix="1" applyNumberFormat="1" applyFont="1" applyFill="1" applyBorder="1" applyAlignment="1">
      <alignment horizontal="center" vertical="top"/>
    </xf>
    <xf numFmtId="18" fontId="1" fillId="2" borderId="37" xfId="0" quotePrefix="1" applyNumberFormat="1" applyFont="1" applyFill="1" applyBorder="1" applyAlignment="1">
      <alignment horizontal="center" vertical="top"/>
    </xf>
    <xf numFmtId="0" fontId="2" fillId="6" borderId="10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43" fontId="2" fillId="6" borderId="23" xfId="1" applyFont="1" applyFill="1" applyBorder="1" applyAlignment="1">
      <alignment horizontal="center" vertical="center" wrapText="1"/>
    </xf>
    <xf numFmtId="43" fontId="2" fillId="6" borderId="0" xfId="1" applyFont="1" applyFill="1" applyBorder="1" applyAlignment="1">
      <alignment horizontal="center" vertical="center" wrapText="1"/>
    </xf>
    <xf numFmtId="43" fontId="0" fillId="6" borderId="27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5" fontId="1" fillId="2" borderId="1" xfId="0" quotePrefix="1" applyNumberFormat="1" applyFont="1" applyFill="1" applyBorder="1" applyAlignment="1">
      <alignment horizontal="center" vertical="top" wrapText="1"/>
    </xf>
    <xf numFmtId="43" fontId="3" fillId="6" borderId="23" xfId="1" applyFont="1" applyFill="1" applyBorder="1" applyAlignment="1">
      <alignment horizontal="center"/>
    </xf>
    <xf numFmtId="43" fontId="3" fillId="6" borderId="0" xfId="1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r.Assoc.Mgr - IT SW - Venkatesan M" id="{40B27927-ADD4-478C-9829-633B17FC6681}" userId="S::venkatesan.m@ramrajcotton.net::75855b18-6c67-4769-a58c-f24819700ad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T5" dT="2026-05-22T12:34:15.63" personId="{40B27927-ADD4-478C-9829-633B17FC6681}" id="{7C6DC304-EA38-4DBC-AE9A-C1EFE9C69BD1}">
    <text>Madurai Rep DB server problem,
Informed to Mr. Suresh for take the DB Backup from ACC Cloud restore to Madurai Rep DB Server</text>
  </threadedComment>
  <threadedComment ref="AV5" dT="2026-05-22T12:34:15.63" personId="{40B27927-ADD4-478C-9829-633B17FC6681}" id="{25453E58-EB94-4603-8BF9-40ADDE89967C}">
    <text>Madurai Rep DB server problem,
Informed to Mr. Suresh for take the DB Backup from ACC Cloud restore to Madurai Rep DB Server</text>
  </threadedComment>
  <threadedComment ref="BF5" dT="2026-05-28T06:25:05.82" personId="{40B27927-ADD4-478C-9829-633B17FC6681}" id="{304453A4-783D-4A45-84FA-CAC8873E0510}">
    <text>LCL rep not working from yesterday 4 PM and I have fixed, now its replicating</text>
  </threadedComment>
  <threadedComment ref="CD5" dT="2026-06-09T05:11:53.19" personId="{40B27927-ADD4-478C-9829-633B17FC6681}" id="{3DF6D1BE-BEFE-4F47-8B87-0F8668600CD8}">
    <text>172.16.16.5 New Rep added and due to network issue its not replicating, informed to Mr. Prem</text>
  </threadedComment>
  <threadedComment ref="CF5" dT="2026-06-09T05:11:53.19" personId="{40B27927-ADD4-478C-9829-633B17FC6681}" id="{F36C268B-A8C1-421D-B5AE-FFA57F0C9A28}">
    <text>172.16.16.5 New Rep added and due to network issue its not replicating, informed to Mr. Prem</text>
  </threadedComment>
  <threadedComment ref="CH5" dT="2026-06-09T05:11:53.19" personId="{40B27927-ADD4-478C-9829-633B17FC6681}" id="{EB24BCCC-903E-4C35-A9AE-AD045C6BCE58}">
    <text>172.16.16.5 New Rep added and due to network issue its not replicating, informed to Mr. Prem</text>
  </threadedComment>
  <threadedComment ref="CK5" dT="2026-06-12T05:18:51.09" personId="{40B27927-ADD4-478C-9829-633B17FC6681}" id="{7770FBD5-74E9-4E37-94BD-56AFD5FE9314}">
    <text>Local(192.168.0.198) is not working, Teams message sent to Satish sir</text>
  </threadedComment>
  <threadedComment ref="CQ5" dT="2026-06-12T05:18:51.09" personId="{40B27927-ADD4-478C-9829-633B17FC6681}" id="{AB8C3609-5651-4A6B-8414-8FDAD1DA3013}">
    <text>Local(192.168.0.198) is not working, Teams message sent to Satish sir</text>
  </threadedComment>
  <threadedComment ref="CQ5" dT="2026-06-15T11:15:48.06" personId="{40B27927-ADD4-478C-9829-633B17FC6681}" id="{FC019BBA-C305-4D3E-BC14-0739AEB1EE3A}" parentId="{AB8C3609-5651-4A6B-8414-8FDAD1DA3013}">
    <text xml:space="preserve">Full backup is coping to rep server for reinitialize </text>
  </threadedComment>
  <threadedComment ref="CS5" dT="2026-06-12T05:18:51.09" personId="{40B27927-ADD4-478C-9829-633B17FC6681}" id="{4B05303C-F6D0-4EF0-AB48-E821D7C31409}">
    <text>Local(192.168.0.198) is not working, Teams message sent to Satish sir</text>
  </threadedComment>
  <threadedComment ref="CS5" dT="2026-06-15T11:15:48.06" personId="{40B27927-ADD4-478C-9829-633B17FC6681}" id="{183C3433-7AD0-4686-BCF4-11DCC9285466}" parentId="{4B05303C-F6D0-4EF0-AB48-E821D7C31409}">
    <text xml:space="preserve">Full backup is coping to rep server for reinitialize </text>
  </threadedComment>
  <threadedComment ref="N6" dT="2026-05-07T12:01:25.27" personId="{40B27927-ADD4-478C-9829-633B17FC6681}" id="{064518AF-5A97-4E91-8BF5-92A42E7D4307}">
    <text>After 12 PM Not working informed to Varunan Sir</text>
  </threadedComment>
  <threadedComment ref="AB9" dT="2026-05-13T06:55:35.95" personId="{40B27927-ADD4-478C-9829-633B17FC6681}" id="{996EBCCF-0C51-436E-BA59-1B1347775F64}">
    <text>Started working after 11.28 AM, row has deleted in 2 tables</text>
  </threadedComment>
  <threadedComment ref="CQ9" dT="2026-06-15T11:16:55.98" personId="{40B27927-ADD4-478C-9829-633B17FC6681}" id="{B1BCD66E-F111-48BC-B1DE-6389E1EC93E5}">
    <text>Moved to cloud, Rep is not working due to OC_Rep password is wrong, informed to Satish sir</text>
  </threadedComment>
  <threadedComment ref="CS9" dT="2026-06-15T11:16:55.98" personId="{40B27927-ADD4-478C-9829-633B17FC6681}" id="{B1FE2BBE-4DD4-4058-8383-AE300A6479C4}">
    <text>Moved to cloud, Rep is not working due to OC_Rep password is wrong, informed to Satish sir</text>
  </threadedComment>
  <threadedComment ref="AA13" dT="2026-05-13T06:56:18.75" personId="{40B27927-ADD4-478C-9829-633B17FC6681}" id="{65FFD823-5530-41F9-851C-8B35D0AA2A6A}">
    <text>Network Failed, informed to Mr. Prem after restart the VT server it is working fine after 12.34 PM</text>
  </threadedComment>
  <threadedComment ref="AC35" dT="2026-05-14T05:33:14.74" personId="{40B27927-ADD4-478C-9829-633B17FC6681}" id="{3B8419F4-0118-4AEA-B772-CA960CEB8B30}">
    <text>Need to configure</text>
  </threadedComment>
  <threadedComment ref="AE35" dT="2026-05-14T05:33:14.74" personId="{40B27927-ADD4-478C-9829-633B17FC6681}" id="{0FEC3928-E63F-4856-9CCC-C064DB4D348C}">
    <text>Need to configure</text>
  </threadedComment>
  <threadedComment ref="AG35" dT="2026-05-14T05:33:14.74" personId="{40B27927-ADD4-478C-9829-633B17FC6681}" id="{52D1D8DC-DACC-48E3-ADC5-91C8C198B6EE}">
    <text>Need to configure</text>
  </threadedComment>
  <threadedComment ref="AG35" dT="2026-05-16T06:16:16.15" personId="{40B27927-ADD4-478C-9829-633B17FC6681}" id="{21284B9B-96AF-4F67-A134-B54BFCC16D6C}" parentId="{52D1D8DC-DACC-48E3-ADC5-91C8C198B6EE}">
    <text>Replication is configured, its getting failed because of network. Cloud to Cloud, need to check with Prem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C1057-9FE3-44FF-A1FF-22042E2F47C7}">
  <dimension ref="A2:IB36"/>
  <sheetViews>
    <sheetView zoomScale="115" zoomScaleNormal="115" workbookViewId="0">
      <pane xSplit="2" topLeftCell="HQ1" activePane="topRight" state="frozen"/>
      <selection pane="topRight" activeCell="IA8" sqref="IA8"/>
    </sheetView>
  </sheetViews>
  <sheetFormatPr defaultRowHeight="14.4" x14ac:dyDescent="0.3"/>
  <cols>
    <col min="1" max="1" width="5" bestFit="1" customWidth="1"/>
    <col min="2" max="2" width="21.5546875" bestFit="1" customWidth="1"/>
    <col min="3" max="33" width="9.6640625" bestFit="1" customWidth="1"/>
    <col min="188" max="219" width="9.44140625" bestFit="1" customWidth="1"/>
    <col min="220" max="226" width="9.5546875" bestFit="1" customWidth="1"/>
    <col min="227" max="227" width="9.5546875" customWidth="1"/>
    <col min="228" max="236" width="9.5546875" bestFit="1" customWidth="1"/>
  </cols>
  <sheetData>
    <row r="2" spans="1:236" ht="14.4" customHeight="1" x14ac:dyDescent="0.3">
      <c r="A2" s="166" t="s">
        <v>0</v>
      </c>
      <c r="B2" s="166" t="s">
        <v>1</v>
      </c>
      <c r="C2" s="168" t="s">
        <v>2</v>
      </c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169"/>
      <c r="AK2" s="169"/>
      <c r="AL2" s="169"/>
      <c r="AM2" s="169"/>
      <c r="AN2" s="169"/>
      <c r="AO2" s="169"/>
      <c r="AP2" s="169"/>
      <c r="AQ2" s="169"/>
      <c r="AR2" s="169"/>
      <c r="AS2" s="169"/>
      <c r="AT2" s="169"/>
      <c r="AU2" s="169"/>
      <c r="AV2" s="169"/>
      <c r="AW2" s="169"/>
      <c r="AX2" s="169"/>
      <c r="AY2" s="169"/>
      <c r="AZ2" s="169"/>
      <c r="BA2" s="169"/>
      <c r="BB2" s="169"/>
      <c r="BC2" s="169"/>
      <c r="BD2" s="169"/>
      <c r="BE2" s="169"/>
      <c r="BF2" s="169"/>
      <c r="BG2" s="169"/>
      <c r="BH2" s="169"/>
      <c r="BI2" s="169"/>
      <c r="BJ2" s="169"/>
      <c r="BK2" s="169"/>
      <c r="BL2" s="169"/>
      <c r="BN2" s="180" t="s">
        <v>2</v>
      </c>
      <c r="BO2" s="180"/>
      <c r="BP2" s="180"/>
      <c r="BQ2" s="180"/>
      <c r="BR2" s="180"/>
      <c r="BS2" s="180"/>
      <c r="BT2" s="180"/>
      <c r="BU2" s="180"/>
      <c r="BV2" s="180"/>
      <c r="BW2" s="180"/>
      <c r="BX2" s="180"/>
      <c r="BY2" s="180"/>
      <c r="BZ2" s="180"/>
      <c r="CA2" s="180"/>
      <c r="CB2" s="180"/>
      <c r="CC2" s="180"/>
      <c r="CD2" s="180"/>
      <c r="CE2" s="180"/>
      <c r="CF2" s="180"/>
      <c r="CG2" s="180"/>
      <c r="CH2" s="180"/>
      <c r="CI2" s="180"/>
      <c r="CJ2" s="180"/>
      <c r="CK2" s="180"/>
      <c r="CL2" s="180"/>
      <c r="CM2" s="180"/>
      <c r="CN2" s="180"/>
      <c r="CO2" s="180"/>
      <c r="CP2" s="180"/>
      <c r="CQ2" s="180"/>
      <c r="CR2" s="180"/>
      <c r="CS2" s="180"/>
      <c r="CT2" s="180"/>
      <c r="CU2" s="180"/>
      <c r="CV2" s="180"/>
      <c r="CW2" s="180"/>
      <c r="CX2" s="180"/>
      <c r="CY2" s="180"/>
      <c r="CZ2" s="180"/>
      <c r="DA2" s="180"/>
      <c r="DB2" s="180"/>
      <c r="DC2" s="180"/>
      <c r="DD2" s="180"/>
      <c r="DE2" s="180"/>
      <c r="DF2" s="180"/>
      <c r="DG2" s="180"/>
      <c r="DH2" s="180"/>
      <c r="DI2" s="180"/>
      <c r="DJ2" s="180"/>
      <c r="DK2" s="180"/>
      <c r="DL2" s="180"/>
      <c r="DM2" s="180"/>
      <c r="DN2" s="180"/>
      <c r="DO2" s="180"/>
      <c r="DP2" s="180"/>
      <c r="DQ2" s="180"/>
      <c r="DR2" s="180"/>
      <c r="DS2" s="180"/>
      <c r="DT2" s="180"/>
      <c r="DU2" s="180"/>
      <c r="DW2" s="181" t="s">
        <v>2</v>
      </c>
      <c r="DX2" s="182"/>
      <c r="DY2" s="182"/>
      <c r="DZ2" s="182"/>
      <c r="EA2" s="182"/>
      <c r="EB2" s="182"/>
      <c r="EC2" s="182"/>
      <c r="ED2" s="182"/>
      <c r="EE2" s="182"/>
      <c r="EF2" s="182"/>
      <c r="EG2" s="182"/>
      <c r="EH2" s="182"/>
      <c r="EI2" s="182"/>
      <c r="EJ2" s="182"/>
      <c r="EK2" s="182"/>
      <c r="EL2" s="182"/>
      <c r="EM2" s="182"/>
      <c r="EN2" s="182"/>
      <c r="EO2" s="182"/>
      <c r="EP2" s="182"/>
      <c r="EQ2" s="182"/>
      <c r="ER2" s="182"/>
      <c r="ES2" s="182"/>
      <c r="ET2" s="182"/>
      <c r="EU2" s="182"/>
      <c r="EV2" s="182"/>
      <c r="EW2" s="182"/>
      <c r="EX2" s="182"/>
      <c r="EY2" s="182"/>
      <c r="EZ2" s="182"/>
      <c r="FA2" s="182"/>
      <c r="FB2" s="182"/>
      <c r="FC2" s="182"/>
      <c r="FD2" s="182"/>
      <c r="FE2" s="182"/>
      <c r="FF2" s="182"/>
      <c r="FG2" s="182"/>
      <c r="FH2" s="182"/>
      <c r="FI2" s="182"/>
      <c r="FJ2" s="182"/>
      <c r="FK2" s="182"/>
      <c r="FL2" s="182"/>
      <c r="FM2" s="182"/>
      <c r="FN2" s="182"/>
      <c r="FO2" s="182"/>
      <c r="FP2" s="182"/>
      <c r="FQ2" s="182"/>
      <c r="FR2" s="182"/>
      <c r="FS2" s="182"/>
      <c r="FT2" s="182"/>
      <c r="FU2" s="182"/>
      <c r="FV2" s="182"/>
      <c r="FW2" s="182"/>
      <c r="FX2" s="182"/>
      <c r="FY2" s="182"/>
      <c r="FZ2" s="182"/>
      <c r="GA2" s="182"/>
      <c r="GB2" s="182"/>
      <c r="GC2" s="182"/>
      <c r="GD2" s="182"/>
      <c r="GF2" s="181" t="s">
        <v>2</v>
      </c>
      <c r="GG2" s="182"/>
      <c r="GH2" s="182"/>
      <c r="GI2" s="182"/>
      <c r="GJ2" s="182"/>
      <c r="GK2" s="182"/>
      <c r="GL2" s="182"/>
      <c r="GM2" s="182"/>
      <c r="GN2" s="182"/>
      <c r="GO2" s="182"/>
    </row>
    <row r="3" spans="1:236" x14ac:dyDescent="0.3">
      <c r="A3" s="167"/>
      <c r="B3" s="167"/>
      <c r="C3" s="161">
        <v>46143</v>
      </c>
      <c r="D3" s="162"/>
      <c r="E3" s="161">
        <v>46144</v>
      </c>
      <c r="F3" s="162"/>
      <c r="G3" s="161">
        <v>46145</v>
      </c>
      <c r="H3" s="162"/>
      <c r="I3" s="161">
        <v>46146</v>
      </c>
      <c r="J3" s="162"/>
      <c r="K3" s="161">
        <v>46147</v>
      </c>
      <c r="L3" s="162"/>
      <c r="M3" s="161">
        <v>46148</v>
      </c>
      <c r="N3" s="162"/>
      <c r="O3" s="161">
        <v>46149</v>
      </c>
      <c r="P3" s="162"/>
      <c r="Q3" s="161">
        <v>46150</v>
      </c>
      <c r="R3" s="162"/>
      <c r="S3" s="161">
        <v>46151</v>
      </c>
      <c r="T3" s="162"/>
      <c r="U3" s="161">
        <v>46152</v>
      </c>
      <c r="V3" s="162"/>
      <c r="W3" s="161">
        <v>46153</v>
      </c>
      <c r="X3" s="162"/>
      <c r="Y3" s="161">
        <v>46154</v>
      </c>
      <c r="Z3" s="162"/>
      <c r="AA3" s="161">
        <v>46155</v>
      </c>
      <c r="AB3" s="162"/>
      <c r="AC3" s="161">
        <v>46156</v>
      </c>
      <c r="AD3" s="162"/>
      <c r="AE3" s="161">
        <v>46157</v>
      </c>
      <c r="AF3" s="162"/>
      <c r="AG3" s="161">
        <v>46158</v>
      </c>
      <c r="AH3" s="162"/>
      <c r="AI3" s="161">
        <v>46159</v>
      </c>
      <c r="AJ3" s="162"/>
      <c r="AK3" s="161">
        <v>46160</v>
      </c>
      <c r="AL3" s="162"/>
      <c r="AM3" s="161">
        <v>46161</v>
      </c>
      <c r="AN3" s="162"/>
      <c r="AO3" s="161">
        <v>46162</v>
      </c>
      <c r="AP3" s="162"/>
      <c r="AQ3" s="161">
        <v>46163</v>
      </c>
      <c r="AR3" s="162"/>
      <c r="AS3" s="161">
        <v>46164</v>
      </c>
      <c r="AT3" s="162"/>
      <c r="AU3" s="161">
        <v>46165</v>
      </c>
      <c r="AV3" s="162"/>
      <c r="AW3" s="161">
        <v>46166</v>
      </c>
      <c r="AX3" s="162"/>
      <c r="AY3" s="161">
        <v>46167</v>
      </c>
      <c r="AZ3" s="162"/>
      <c r="BA3" s="161">
        <v>46168</v>
      </c>
      <c r="BB3" s="162"/>
      <c r="BC3" s="161">
        <v>46169</v>
      </c>
      <c r="BD3" s="162"/>
      <c r="BE3" s="161">
        <v>46170</v>
      </c>
      <c r="BF3" s="162"/>
      <c r="BG3" s="161">
        <v>46171</v>
      </c>
      <c r="BH3" s="162"/>
      <c r="BI3" s="161">
        <v>46172</v>
      </c>
      <c r="BJ3" s="162"/>
      <c r="BK3" s="161">
        <v>46173</v>
      </c>
      <c r="BL3" s="162"/>
      <c r="BN3" s="161">
        <v>46174</v>
      </c>
      <c r="BO3" s="162"/>
      <c r="BP3" s="161">
        <v>46175</v>
      </c>
      <c r="BQ3" s="162"/>
      <c r="BR3" s="161">
        <v>46176</v>
      </c>
      <c r="BS3" s="162"/>
      <c r="BT3" s="161">
        <v>46177</v>
      </c>
      <c r="BU3" s="162"/>
      <c r="BV3" s="161">
        <v>46178</v>
      </c>
      <c r="BW3" s="162"/>
      <c r="BX3" s="161">
        <v>46179</v>
      </c>
      <c r="BY3" s="162"/>
      <c r="BZ3" s="161">
        <v>46180</v>
      </c>
      <c r="CA3" s="162"/>
      <c r="CB3" s="161">
        <v>46181</v>
      </c>
      <c r="CC3" s="162"/>
      <c r="CD3" s="161">
        <v>46182</v>
      </c>
      <c r="CE3" s="162"/>
      <c r="CF3" s="161">
        <v>46183</v>
      </c>
      <c r="CG3" s="162"/>
      <c r="CH3" s="161">
        <v>46184</v>
      </c>
      <c r="CI3" s="162"/>
      <c r="CJ3" s="161">
        <v>46185</v>
      </c>
      <c r="CK3" s="162"/>
      <c r="CL3" s="161">
        <v>46186</v>
      </c>
      <c r="CM3" s="162"/>
      <c r="CN3" s="161">
        <v>46187</v>
      </c>
      <c r="CO3" s="162"/>
      <c r="CP3" s="161">
        <v>46188</v>
      </c>
      <c r="CQ3" s="162"/>
      <c r="CR3" s="161">
        <v>46189</v>
      </c>
      <c r="CS3" s="162"/>
      <c r="CT3" s="161">
        <v>46190</v>
      </c>
      <c r="CU3" s="162"/>
      <c r="CV3" s="161">
        <v>46191</v>
      </c>
      <c r="CW3" s="162"/>
      <c r="CX3" s="161">
        <v>46192</v>
      </c>
      <c r="CY3" s="162"/>
      <c r="CZ3" s="161">
        <v>46193</v>
      </c>
      <c r="DA3" s="162"/>
      <c r="DB3" s="161">
        <v>46194</v>
      </c>
      <c r="DC3" s="162"/>
      <c r="DD3" s="161">
        <v>46195</v>
      </c>
      <c r="DE3" s="162"/>
      <c r="DF3" s="161">
        <v>46196</v>
      </c>
      <c r="DG3" s="162"/>
      <c r="DH3" s="161">
        <v>46197</v>
      </c>
      <c r="DI3" s="162"/>
      <c r="DJ3" s="161">
        <v>46198</v>
      </c>
      <c r="DK3" s="162"/>
      <c r="DL3" s="161">
        <v>46199</v>
      </c>
      <c r="DM3" s="162"/>
      <c r="DN3" s="161">
        <v>46200</v>
      </c>
      <c r="DO3" s="162"/>
      <c r="DP3" s="161">
        <v>46201</v>
      </c>
      <c r="DQ3" s="162"/>
      <c r="DR3" s="161">
        <v>46202</v>
      </c>
      <c r="DS3" s="162"/>
      <c r="DT3" s="161">
        <v>46203</v>
      </c>
      <c r="DU3" s="162"/>
      <c r="DW3" s="161">
        <v>46204</v>
      </c>
      <c r="DX3" s="162"/>
      <c r="DY3" s="161">
        <v>46205</v>
      </c>
      <c r="DZ3" s="162"/>
      <c r="EA3" s="161">
        <v>46206</v>
      </c>
      <c r="EB3" s="162"/>
      <c r="EC3" s="161">
        <v>46207</v>
      </c>
      <c r="ED3" s="162"/>
      <c r="EE3" s="161">
        <v>46208</v>
      </c>
      <c r="EF3" s="162"/>
      <c r="EG3" s="161">
        <v>46209</v>
      </c>
      <c r="EH3" s="162"/>
      <c r="EI3" s="161">
        <v>46210</v>
      </c>
      <c r="EJ3" s="162"/>
      <c r="EK3" s="161">
        <v>46211</v>
      </c>
      <c r="EL3" s="162"/>
      <c r="EM3" s="161">
        <v>46212</v>
      </c>
      <c r="EN3" s="162"/>
      <c r="EO3" s="161">
        <v>46213</v>
      </c>
      <c r="EP3" s="162"/>
      <c r="EQ3" s="161">
        <v>46214</v>
      </c>
      <c r="ER3" s="162"/>
      <c r="ES3" s="161">
        <v>46215</v>
      </c>
      <c r="ET3" s="162"/>
      <c r="EU3" s="161">
        <v>46216</v>
      </c>
      <c r="EV3" s="162"/>
      <c r="EW3" s="161">
        <v>46217</v>
      </c>
      <c r="EX3" s="162"/>
      <c r="EY3" s="161">
        <v>46218</v>
      </c>
      <c r="EZ3" s="162"/>
      <c r="FA3" s="161">
        <v>46219</v>
      </c>
      <c r="FB3" s="162"/>
      <c r="FC3" s="161">
        <v>46220</v>
      </c>
      <c r="FD3" s="162"/>
      <c r="FE3" s="161">
        <v>46221</v>
      </c>
      <c r="FF3" s="162"/>
      <c r="FG3" s="161">
        <v>46222</v>
      </c>
      <c r="FH3" s="162"/>
      <c r="FI3" s="161">
        <v>46223</v>
      </c>
      <c r="FJ3" s="162"/>
      <c r="FK3" s="161">
        <v>46224</v>
      </c>
      <c r="FL3" s="162"/>
      <c r="FM3" s="161">
        <v>46225</v>
      </c>
      <c r="FN3" s="162"/>
      <c r="FO3" s="161">
        <v>46226</v>
      </c>
      <c r="FP3" s="162"/>
      <c r="FQ3" s="20">
        <v>46227</v>
      </c>
      <c r="FR3" s="20">
        <v>46228</v>
      </c>
      <c r="FS3" s="161">
        <v>46229</v>
      </c>
      <c r="FT3" s="162"/>
      <c r="FU3" s="161">
        <v>46230</v>
      </c>
      <c r="FV3" s="162"/>
      <c r="FW3" s="161">
        <v>46231</v>
      </c>
      <c r="FX3" s="162"/>
      <c r="FY3" s="161">
        <v>46232</v>
      </c>
      <c r="FZ3" s="162"/>
      <c r="GA3" s="161">
        <v>46233</v>
      </c>
      <c r="GB3" s="162"/>
      <c r="GC3" s="161">
        <v>46234</v>
      </c>
      <c r="GD3" s="162"/>
      <c r="GF3" s="20">
        <v>46235</v>
      </c>
      <c r="GG3" s="20">
        <v>46236</v>
      </c>
      <c r="GH3" s="20">
        <v>46237</v>
      </c>
      <c r="GI3" s="20">
        <v>46238</v>
      </c>
      <c r="GJ3" s="20">
        <v>46239</v>
      </c>
      <c r="GK3" s="20">
        <v>46240</v>
      </c>
      <c r="GL3" s="20">
        <v>46241</v>
      </c>
      <c r="GM3" s="20">
        <v>46242</v>
      </c>
      <c r="GN3" s="20">
        <v>46243</v>
      </c>
      <c r="GO3" s="20">
        <v>46244</v>
      </c>
      <c r="GP3" s="20">
        <v>46245</v>
      </c>
      <c r="GQ3" s="20">
        <v>46246</v>
      </c>
      <c r="GR3" s="20">
        <v>46247</v>
      </c>
      <c r="GS3" s="20">
        <v>46248</v>
      </c>
      <c r="GT3" s="20">
        <v>46249</v>
      </c>
      <c r="GU3" s="20">
        <v>46250</v>
      </c>
      <c r="GV3" s="20">
        <v>46251</v>
      </c>
      <c r="GW3" s="20">
        <v>46251</v>
      </c>
      <c r="GX3" s="20">
        <v>46252</v>
      </c>
      <c r="GY3" s="20">
        <v>46253</v>
      </c>
      <c r="GZ3" s="20">
        <v>46254</v>
      </c>
      <c r="HA3" s="20">
        <v>46255</v>
      </c>
      <c r="HB3" s="20">
        <v>46256</v>
      </c>
      <c r="HC3" s="20">
        <v>46257</v>
      </c>
      <c r="HD3" s="20">
        <v>46258</v>
      </c>
      <c r="HE3" s="20">
        <v>46259</v>
      </c>
      <c r="HF3" s="20">
        <v>46260</v>
      </c>
      <c r="HG3" s="20">
        <v>46261</v>
      </c>
      <c r="HH3" s="20">
        <v>46262</v>
      </c>
      <c r="HI3" s="20">
        <v>46263</v>
      </c>
      <c r="HJ3" s="20">
        <v>46264</v>
      </c>
      <c r="HK3" s="20">
        <v>46265</v>
      </c>
      <c r="HL3" s="20">
        <v>46266</v>
      </c>
      <c r="HM3" s="20">
        <v>46267</v>
      </c>
      <c r="HN3" s="20">
        <v>46268</v>
      </c>
      <c r="HO3" s="20">
        <v>46269</v>
      </c>
      <c r="HP3" s="20">
        <v>46270</v>
      </c>
      <c r="HQ3" s="20">
        <v>46271</v>
      </c>
      <c r="HR3" s="20">
        <v>46272</v>
      </c>
      <c r="HS3" s="20">
        <v>46272</v>
      </c>
      <c r="HT3" s="20">
        <v>46273</v>
      </c>
      <c r="HU3" s="20">
        <v>46274</v>
      </c>
      <c r="HV3" s="20">
        <v>46275</v>
      </c>
      <c r="HW3" s="20">
        <v>46276</v>
      </c>
      <c r="HX3" s="20">
        <v>46277</v>
      </c>
      <c r="HY3" s="20">
        <v>46278</v>
      </c>
      <c r="HZ3" s="20">
        <v>46279</v>
      </c>
      <c r="IA3" s="20">
        <v>46280</v>
      </c>
      <c r="IB3" s="20">
        <v>46281</v>
      </c>
    </row>
    <row r="4" spans="1:236" x14ac:dyDescent="0.3">
      <c r="A4" s="2"/>
      <c r="B4" s="2"/>
      <c r="C4" s="3" t="s">
        <v>3</v>
      </c>
      <c r="D4" s="3" t="s">
        <v>4</v>
      </c>
      <c r="E4" s="3" t="s">
        <v>3</v>
      </c>
      <c r="F4" s="3" t="s">
        <v>4</v>
      </c>
      <c r="G4" s="3" t="s">
        <v>3</v>
      </c>
      <c r="H4" s="3" t="s">
        <v>4</v>
      </c>
      <c r="I4" s="3" t="s">
        <v>3</v>
      </c>
      <c r="J4" s="3" t="s">
        <v>4</v>
      </c>
      <c r="K4" s="3" t="s">
        <v>3</v>
      </c>
      <c r="L4" s="3" t="s">
        <v>4</v>
      </c>
      <c r="M4" s="3" t="s">
        <v>3</v>
      </c>
      <c r="N4" s="3" t="s">
        <v>4</v>
      </c>
      <c r="O4" s="3" t="s">
        <v>3</v>
      </c>
      <c r="P4" s="3" t="s">
        <v>4</v>
      </c>
      <c r="Q4" s="3" t="s">
        <v>3</v>
      </c>
      <c r="R4" s="3" t="s">
        <v>4</v>
      </c>
      <c r="S4" s="3" t="s">
        <v>3</v>
      </c>
      <c r="T4" s="3" t="s">
        <v>4</v>
      </c>
      <c r="U4" s="3" t="s">
        <v>3</v>
      </c>
      <c r="V4" s="3" t="s">
        <v>4</v>
      </c>
      <c r="W4" s="3" t="s">
        <v>3</v>
      </c>
      <c r="X4" s="3" t="s">
        <v>4</v>
      </c>
      <c r="Y4" s="3" t="s">
        <v>3</v>
      </c>
      <c r="Z4" s="3" t="s">
        <v>4</v>
      </c>
      <c r="AA4" s="3" t="s">
        <v>3</v>
      </c>
      <c r="AB4" s="3" t="s">
        <v>4</v>
      </c>
      <c r="AC4" s="3" t="s">
        <v>3</v>
      </c>
      <c r="AD4" s="3" t="s">
        <v>4</v>
      </c>
      <c r="AE4" s="3" t="s">
        <v>3</v>
      </c>
      <c r="AF4" s="3" t="s">
        <v>4</v>
      </c>
      <c r="AG4" s="3" t="s">
        <v>3</v>
      </c>
      <c r="AH4" s="3" t="s">
        <v>4</v>
      </c>
      <c r="AI4" s="3" t="s">
        <v>3</v>
      </c>
      <c r="AJ4" s="3" t="s">
        <v>4</v>
      </c>
      <c r="AK4" s="3" t="s">
        <v>3</v>
      </c>
      <c r="AL4" s="3" t="s">
        <v>4</v>
      </c>
      <c r="AM4" s="3" t="s">
        <v>3</v>
      </c>
      <c r="AN4" s="3" t="s">
        <v>4</v>
      </c>
      <c r="AO4" s="3" t="s">
        <v>3</v>
      </c>
      <c r="AP4" s="3" t="s">
        <v>4</v>
      </c>
      <c r="AQ4" s="3" t="s">
        <v>3</v>
      </c>
      <c r="AR4" s="3" t="s">
        <v>4</v>
      </c>
      <c r="AS4" s="3" t="s">
        <v>3</v>
      </c>
      <c r="AT4" s="3" t="s">
        <v>4</v>
      </c>
      <c r="AU4" s="3" t="s">
        <v>3</v>
      </c>
      <c r="AV4" s="3" t="s">
        <v>4</v>
      </c>
      <c r="AW4" s="3" t="s">
        <v>3</v>
      </c>
      <c r="AX4" s="3" t="s">
        <v>4</v>
      </c>
      <c r="AY4" s="3" t="s">
        <v>3</v>
      </c>
      <c r="AZ4" s="3" t="s">
        <v>4</v>
      </c>
      <c r="BA4" s="3" t="s">
        <v>3</v>
      </c>
      <c r="BB4" s="3" t="s">
        <v>4</v>
      </c>
      <c r="BC4" s="3" t="s">
        <v>3</v>
      </c>
      <c r="BD4" s="3" t="s">
        <v>4</v>
      </c>
      <c r="BE4" s="3" t="s">
        <v>3</v>
      </c>
      <c r="BF4" s="3" t="s">
        <v>4</v>
      </c>
      <c r="BG4" s="3" t="s">
        <v>3</v>
      </c>
      <c r="BH4" s="3" t="s">
        <v>4</v>
      </c>
      <c r="BI4" s="3" t="s">
        <v>3</v>
      </c>
      <c r="BJ4" s="3" t="s">
        <v>4</v>
      </c>
      <c r="BK4" s="3" t="s">
        <v>3</v>
      </c>
      <c r="BL4" s="3" t="s">
        <v>4</v>
      </c>
      <c r="BN4" s="3" t="s">
        <v>3</v>
      </c>
      <c r="BO4" s="3" t="s">
        <v>4</v>
      </c>
      <c r="BP4" s="3" t="s">
        <v>3</v>
      </c>
      <c r="BQ4" s="3" t="s">
        <v>4</v>
      </c>
      <c r="BR4" s="3" t="s">
        <v>3</v>
      </c>
      <c r="BS4" s="3" t="s">
        <v>4</v>
      </c>
      <c r="BT4" s="3" t="s">
        <v>3</v>
      </c>
      <c r="BU4" s="3" t="s">
        <v>4</v>
      </c>
      <c r="BV4" s="3" t="s">
        <v>3</v>
      </c>
      <c r="BW4" s="3" t="s">
        <v>4</v>
      </c>
      <c r="BX4" s="3" t="s">
        <v>3</v>
      </c>
      <c r="BY4" s="3" t="s">
        <v>4</v>
      </c>
      <c r="BZ4" s="3" t="s">
        <v>3</v>
      </c>
      <c r="CA4" s="3" t="s">
        <v>4</v>
      </c>
      <c r="CB4" s="3" t="s">
        <v>3</v>
      </c>
      <c r="CC4" s="3" t="s">
        <v>4</v>
      </c>
      <c r="CD4" s="3" t="s">
        <v>3</v>
      </c>
      <c r="CE4" s="3" t="s">
        <v>4</v>
      </c>
      <c r="CF4" s="3" t="s">
        <v>3</v>
      </c>
      <c r="CG4" s="3" t="s">
        <v>4</v>
      </c>
      <c r="CH4" s="3" t="s">
        <v>3</v>
      </c>
      <c r="CI4" s="3" t="s">
        <v>4</v>
      </c>
      <c r="CJ4" s="3" t="s">
        <v>3</v>
      </c>
      <c r="CK4" s="3" t="s">
        <v>4</v>
      </c>
      <c r="CL4" s="3" t="s">
        <v>3</v>
      </c>
      <c r="CM4" s="3" t="s">
        <v>4</v>
      </c>
      <c r="CN4" s="3" t="s">
        <v>3</v>
      </c>
      <c r="CO4" s="3" t="s">
        <v>4</v>
      </c>
      <c r="CP4" s="3" t="s">
        <v>3</v>
      </c>
      <c r="CQ4" s="3" t="s">
        <v>4</v>
      </c>
      <c r="CR4" s="3" t="s">
        <v>3</v>
      </c>
      <c r="CS4" s="3" t="s">
        <v>4</v>
      </c>
      <c r="CT4" s="3" t="s">
        <v>3</v>
      </c>
      <c r="CU4" s="3" t="s">
        <v>4</v>
      </c>
      <c r="CV4" s="3" t="s">
        <v>3</v>
      </c>
      <c r="CW4" s="3" t="s">
        <v>4</v>
      </c>
      <c r="CX4" s="3" t="s">
        <v>3</v>
      </c>
      <c r="CY4" s="3" t="s">
        <v>4</v>
      </c>
      <c r="CZ4" s="3" t="s">
        <v>3</v>
      </c>
      <c r="DA4" s="3" t="s">
        <v>4</v>
      </c>
      <c r="DB4" s="3" t="s">
        <v>3</v>
      </c>
      <c r="DC4" s="3" t="s">
        <v>4</v>
      </c>
      <c r="DD4" s="3" t="s">
        <v>3</v>
      </c>
      <c r="DE4" s="3" t="s">
        <v>4</v>
      </c>
      <c r="DF4" s="3" t="s">
        <v>3</v>
      </c>
      <c r="DG4" s="3" t="s">
        <v>4</v>
      </c>
      <c r="DH4" s="3" t="s">
        <v>3</v>
      </c>
      <c r="DI4" s="3" t="s">
        <v>4</v>
      </c>
      <c r="DJ4" s="3" t="s">
        <v>3</v>
      </c>
      <c r="DK4" s="3" t="s">
        <v>4</v>
      </c>
      <c r="DL4" s="3" t="s">
        <v>3</v>
      </c>
      <c r="DM4" s="3" t="s">
        <v>4</v>
      </c>
      <c r="DN4" s="3" t="s">
        <v>3</v>
      </c>
      <c r="DO4" s="3" t="s">
        <v>4</v>
      </c>
      <c r="DP4" s="3" t="s">
        <v>3</v>
      </c>
      <c r="DQ4" s="3" t="s">
        <v>4</v>
      </c>
      <c r="DR4" s="3" t="s">
        <v>3</v>
      </c>
      <c r="DS4" s="3" t="s">
        <v>4</v>
      </c>
      <c r="DT4" s="3" t="s">
        <v>3</v>
      </c>
      <c r="DU4" s="3" t="s">
        <v>4</v>
      </c>
      <c r="DW4" s="3" t="s">
        <v>3</v>
      </c>
      <c r="DX4" s="3" t="s">
        <v>4</v>
      </c>
      <c r="DY4" s="3" t="s">
        <v>3</v>
      </c>
      <c r="DZ4" s="3" t="s">
        <v>4</v>
      </c>
      <c r="EA4" s="3" t="s">
        <v>3</v>
      </c>
      <c r="EB4" s="3" t="s">
        <v>4</v>
      </c>
      <c r="EC4" s="3" t="s">
        <v>3</v>
      </c>
      <c r="ED4" s="3" t="s">
        <v>4</v>
      </c>
      <c r="EE4" s="3" t="s">
        <v>3</v>
      </c>
      <c r="EF4" s="3" t="s">
        <v>4</v>
      </c>
      <c r="EG4" s="3" t="s">
        <v>3</v>
      </c>
      <c r="EH4" s="3" t="s">
        <v>4</v>
      </c>
      <c r="EI4" s="3" t="s">
        <v>3</v>
      </c>
      <c r="EJ4" s="3" t="s">
        <v>4</v>
      </c>
      <c r="EK4" s="3" t="s">
        <v>3</v>
      </c>
      <c r="EL4" s="3" t="s">
        <v>4</v>
      </c>
      <c r="EM4" s="3" t="s">
        <v>3</v>
      </c>
      <c r="EN4" s="3" t="s">
        <v>4</v>
      </c>
      <c r="EO4" s="3" t="s">
        <v>3</v>
      </c>
      <c r="EP4" s="3" t="s">
        <v>4</v>
      </c>
      <c r="EQ4" s="3" t="s">
        <v>3</v>
      </c>
      <c r="ER4" s="3" t="s">
        <v>4</v>
      </c>
      <c r="ES4" s="3" t="s">
        <v>3</v>
      </c>
      <c r="ET4" s="3" t="s">
        <v>4</v>
      </c>
      <c r="EU4" s="3" t="s">
        <v>3</v>
      </c>
      <c r="EV4" s="3" t="s">
        <v>4</v>
      </c>
      <c r="EW4" s="3" t="s">
        <v>3</v>
      </c>
      <c r="EX4" s="3" t="s">
        <v>4</v>
      </c>
      <c r="EY4" s="3" t="s">
        <v>3</v>
      </c>
      <c r="EZ4" s="3" t="s">
        <v>4</v>
      </c>
      <c r="FA4" s="3" t="s">
        <v>3</v>
      </c>
      <c r="FB4" s="3" t="s">
        <v>4</v>
      </c>
      <c r="FC4" s="3" t="s">
        <v>3</v>
      </c>
      <c r="FD4" s="3" t="s">
        <v>4</v>
      </c>
      <c r="FE4" s="3" t="s">
        <v>3</v>
      </c>
      <c r="FF4" s="3" t="s">
        <v>4</v>
      </c>
      <c r="FG4" s="3" t="s">
        <v>3</v>
      </c>
      <c r="FH4" s="3" t="s">
        <v>4</v>
      </c>
      <c r="FI4" s="3" t="s">
        <v>3</v>
      </c>
      <c r="FJ4" s="3" t="s">
        <v>4</v>
      </c>
      <c r="FK4" s="3" t="s">
        <v>3</v>
      </c>
      <c r="FL4" s="3" t="s">
        <v>4</v>
      </c>
      <c r="FM4" s="3" t="s">
        <v>3</v>
      </c>
      <c r="FN4" s="3" t="s">
        <v>4</v>
      </c>
      <c r="FO4" s="3" t="s">
        <v>3</v>
      </c>
      <c r="FP4" s="3" t="s">
        <v>4</v>
      </c>
      <c r="FQ4" s="3" t="s">
        <v>3</v>
      </c>
      <c r="FR4" s="3" t="s">
        <v>3</v>
      </c>
      <c r="FS4" s="3" t="s">
        <v>3</v>
      </c>
      <c r="FT4" s="3" t="s">
        <v>4</v>
      </c>
      <c r="FU4" s="3" t="s">
        <v>3</v>
      </c>
      <c r="FV4" s="3" t="s">
        <v>4</v>
      </c>
      <c r="FW4" s="3" t="s">
        <v>3</v>
      </c>
      <c r="FX4" s="3" t="s">
        <v>4</v>
      </c>
      <c r="FY4" s="3" t="s">
        <v>3</v>
      </c>
      <c r="FZ4" s="3" t="s">
        <v>4</v>
      </c>
      <c r="GA4" s="3" t="s">
        <v>3</v>
      </c>
      <c r="GB4" s="3" t="s">
        <v>4</v>
      </c>
      <c r="GC4" s="3" t="s">
        <v>3</v>
      </c>
      <c r="GD4" s="3" t="s">
        <v>4</v>
      </c>
      <c r="GF4" s="3" t="s">
        <v>3</v>
      </c>
      <c r="GG4" s="3" t="s">
        <v>3</v>
      </c>
      <c r="GH4" s="3" t="s">
        <v>3</v>
      </c>
      <c r="GI4" s="3" t="s">
        <v>3</v>
      </c>
      <c r="GJ4" s="3" t="s">
        <v>3</v>
      </c>
      <c r="GK4" s="3" t="s">
        <v>3</v>
      </c>
      <c r="GL4" s="3" t="s">
        <v>3</v>
      </c>
      <c r="GM4" s="3" t="s">
        <v>3</v>
      </c>
      <c r="GN4" s="3" t="s">
        <v>3</v>
      </c>
      <c r="GO4" s="3" t="s">
        <v>3</v>
      </c>
      <c r="GP4" s="3" t="s">
        <v>3</v>
      </c>
      <c r="GQ4" s="3" t="s">
        <v>3</v>
      </c>
      <c r="GR4" s="3" t="s">
        <v>3</v>
      </c>
      <c r="GS4" s="3" t="s">
        <v>3</v>
      </c>
      <c r="GT4" s="3" t="s">
        <v>3</v>
      </c>
      <c r="GU4" s="3" t="s">
        <v>3</v>
      </c>
      <c r="GV4" s="3" t="s">
        <v>3</v>
      </c>
      <c r="GW4" s="3" t="s">
        <v>3</v>
      </c>
      <c r="GX4" s="3" t="s">
        <v>3</v>
      </c>
      <c r="GY4" s="3" t="s">
        <v>3</v>
      </c>
      <c r="GZ4" s="3" t="s">
        <v>3</v>
      </c>
      <c r="HA4" s="3" t="s">
        <v>3</v>
      </c>
      <c r="HB4" s="3" t="s">
        <v>3</v>
      </c>
      <c r="HC4" s="3" t="s">
        <v>3</v>
      </c>
      <c r="HD4" s="3" t="s">
        <v>3</v>
      </c>
      <c r="HE4" s="3" t="s">
        <v>3</v>
      </c>
      <c r="HF4" s="3" t="s">
        <v>3</v>
      </c>
      <c r="HG4" s="3" t="s">
        <v>3</v>
      </c>
      <c r="HH4" s="3" t="s">
        <v>3</v>
      </c>
      <c r="HI4" s="3" t="s">
        <v>3</v>
      </c>
      <c r="HJ4" s="3" t="s">
        <v>3</v>
      </c>
      <c r="HK4" s="3" t="s">
        <v>3</v>
      </c>
      <c r="HL4" s="3" t="s">
        <v>3</v>
      </c>
      <c r="HM4" s="3" t="s">
        <v>3</v>
      </c>
      <c r="HN4" s="3" t="s">
        <v>3</v>
      </c>
      <c r="HO4" s="3" t="s">
        <v>3</v>
      </c>
      <c r="HP4" s="3" t="s">
        <v>3</v>
      </c>
      <c r="HQ4" s="3" t="s">
        <v>3</v>
      </c>
      <c r="HR4" s="3" t="s">
        <v>3</v>
      </c>
      <c r="HS4" s="3" t="s">
        <v>3</v>
      </c>
      <c r="HT4" s="3" t="s">
        <v>3</v>
      </c>
      <c r="HU4" s="3" t="s">
        <v>3</v>
      </c>
      <c r="HV4" s="3" t="s">
        <v>3</v>
      </c>
      <c r="HW4" s="3" t="s">
        <v>3</v>
      </c>
      <c r="HX4" s="3" t="s">
        <v>3</v>
      </c>
      <c r="HY4" s="3" t="s">
        <v>3</v>
      </c>
      <c r="HZ4" s="3" t="s">
        <v>3</v>
      </c>
      <c r="IA4" s="3" t="s">
        <v>3</v>
      </c>
      <c r="IB4" s="3" t="s">
        <v>3</v>
      </c>
    </row>
    <row r="5" spans="1:236" x14ac:dyDescent="0.3">
      <c r="A5" s="5">
        <v>1</v>
      </c>
      <c r="B5" s="6" t="s">
        <v>5</v>
      </c>
      <c r="C5" s="170" t="s">
        <v>6</v>
      </c>
      <c r="D5" s="171"/>
      <c r="E5" s="10"/>
      <c r="F5" s="10"/>
      <c r="G5" s="170" t="s">
        <v>7</v>
      </c>
      <c r="H5" s="171"/>
      <c r="I5" s="16"/>
      <c r="J5" s="10"/>
      <c r="K5" s="10"/>
      <c r="L5" s="10"/>
      <c r="M5" s="10"/>
      <c r="N5" s="10"/>
      <c r="O5" s="10"/>
      <c r="P5" s="10"/>
      <c r="Q5" s="10"/>
      <c r="R5" s="52"/>
      <c r="S5" s="10"/>
      <c r="T5" s="52"/>
      <c r="U5" s="170" t="s">
        <v>7</v>
      </c>
      <c r="V5" s="171"/>
      <c r="W5" s="52"/>
      <c r="X5" s="52"/>
      <c r="Y5" s="52"/>
      <c r="Z5" s="52"/>
      <c r="AA5" s="10"/>
      <c r="AB5" s="10"/>
      <c r="AC5" s="10"/>
      <c r="AD5" s="10"/>
      <c r="AE5" s="10"/>
      <c r="AF5" s="10"/>
      <c r="AG5" s="10"/>
      <c r="AH5" s="10" t="s">
        <v>8</v>
      </c>
      <c r="AI5" s="170" t="s">
        <v>7</v>
      </c>
      <c r="AJ5" s="171"/>
      <c r="AK5" s="10"/>
      <c r="AL5" s="10" t="s">
        <v>8</v>
      </c>
      <c r="AM5" s="10"/>
      <c r="AN5" s="10" t="s">
        <v>8</v>
      </c>
      <c r="AO5" s="170" t="s">
        <v>9</v>
      </c>
      <c r="AP5" s="171"/>
      <c r="AQ5" s="170" t="s">
        <v>9</v>
      </c>
      <c r="AR5" s="171"/>
      <c r="AS5" s="10"/>
      <c r="AT5" s="16" t="s">
        <v>8</v>
      </c>
      <c r="AU5" s="10"/>
      <c r="AV5" s="16" t="s">
        <v>8</v>
      </c>
      <c r="AW5" s="170" t="s">
        <v>7</v>
      </c>
      <c r="AX5" s="171"/>
      <c r="AY5" s="10"/>
      <c r="AZ5" s="10" t="s">
        <v>8</v>
      </c>
      <c r="BA5" s="10"/>
      <c r="BB5" s="10" t="s">
        <v>8</v>
      </c>
      <c r="BC5" s="10"/>
      <c r="BD5" s="10" t="s">
        <v>8</v>
      </c>
      <c r="BE5" s="10"/>
      <c r="BF5" s="16" t="s">
        <v>8</v>
      </c>
      <c r="BG5" s="10"/>
      <c r="BH5" s="10"/>
      <c r="BI5" s="10"/>
      <c r="BJ5" s="10"/>
      <c r="BK5" s="170" t="s">
        <v>7</v>
      </c>
      <c r="BL5" s="171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74" t="s">
        <v>7</v>
      </c>
      <c r="CA5" s="175"/>
      <c r="CB5" s="10"/>
      <c r="CC5" s="10"/>
      <c r="CD5" s="16"/>
      <c r="CE5" s="10"/>
      <c r="CF5" s="16"/>
      <c r="CG5" s="10"/>
      <c r="CH5" s="16"/>
      <c r="CI5" s="10"/>
      <c r="CJ5" s="10"/>
      <c r="CK5" s="52"/>
      <c r="CL5" s="174" t="s">
        <v>9</v>
      </c>
      <c r="CM5" s="175"/>
      <c r="CN5" s="174" t="s">
        <v>7</v>
      </c>
      <c r="CO5" s="175"/>
      <c r="CP5" s="10"/>
      <c r="CQ5" s="52"/>
      <c r="CR5" s="10"/>
      <c r="CS5" s="52"/>
      <c r="CT5" s="10" t="s">
        <v>82</v>
      </c>
      <c r="CU5" s="10"/>
      <c r="CV5" s="10"/>
      <c r="CW5" s="10"/>
      <c r="CX5" s="10"/>
      <c r="CY5" s="10"/>
      <c r="CZ5" s="10"/>
      <c r="DA5" s="10"/>
      <c r="DB5" s="158" t="s">
        <v>7</v>
      </c>
      <c r="DC5" s="163"/>
      <c r="DD5" s="10"/>
      <c r="DE5" s="134" t="s">
        <v>84</v>
      </c>
      <c r="DF5" s="10"/>
      <c r="DG5" s="10"/>
      <c r="DH5" s="158" t="s">
        <v>9</v>
      </c>
      <c r="DI5" s="163"/>
      <c r="DJ5" s="10"/>
      <c r="DK5" s="134" t="s">
        <v>84</v>
      </c>
      <c r="DL5" s="10"/>
      <c r="DM5" s="134" t="s">
        <v>84</v>
      </c>
      <c r="DN5" s="10"/>
      <c r="DO5" s="134" t="s">
        <v>84</v>
      </c>
      <c r="DP5" s="158" t="s">
        <v>7</v>
      </c>
      <c r="DQ5" s="163"/>
      <c r="DR5" s="10"/>
      <c r="DS5" s="134" t="s">
        <v>84</v>
      </c>
      <c r="DT5" s="16" t="s">
        <v>85</v>
      </c>
      <c r="DU5" s="134" t="s">
        <v>84</v>
      </c>
      <c r="DW5" s="16" t="s">
        <v>85</v>
      </c>
      <c r="DX5" s="134" t="s">
        <v>84</v>
      </c>
      <c r="DY5" s="158" t="s">
        <v>9</v>
      </c>
      <c r="DZ5" s="163"/>
      <c r="EA5" s="10"/>
      <c r="EB5" s="10"/>
      <c r="EC5" s="10"/>
      <c r="ED5" s="10"/>
      <c r="EE5" s="158" t="s">
        <v>7</v>
      </c>
      <c r="EF5" s="163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58" t="s">
        <v>7</v>
      </c>
      <c r="ET5" s="163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58" t="s">
        <v>9</v>
      </c>
      <c r="FF5" s="163"/>
      <c r="FG5" s="158" t="s">
        <v>7</v>
      </c>
      <c r="FH5" s="163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58" t="s">
        <v>7</v>
      </c>
      <c r="FT5" s="163"/>
      <c r="FU5" s="10"/>
      <c r="FV5" s="7"/>
      <c r="FW5" s="10"/>
      <c r="FX5" s="7"/>
      <c r="FY5" s="10"/>
      <c r="FZ5" s="7"/>
      <c r="GA5" s="10"/>
      <c r="GB5" s="7"/>
      <c r="GC5" s="10"/>
      <c r="GD5" s="7"/>
      <c r="GF5" s="10"/>
      <c r="GG5" s="158" t="s">
        <v>7</v>
      </c>
      <c r="GH5" s="158" t="s">
        <v>6</v>
      </c>
      <c r="GI5" s="10"/>
      <c r="GJ5" s="10"/>
      <c r="GK5" s="158" t="s">
        <v>9</v>
      </c>
      <c r="GL5" s="158" t="s">
        <v>9</v>
      </c>
      <c r="GM5" s="10"/>
      <c r="GN5" s="158" t="s">
        <v>7</v>
      </c>
      <c r="GO5" s="10"/>
      <c r="GP5" s="10"/>
      <c r="GQ5" s="10"/>
      <c r="GR5" s="10"/>
      <c r="GS5" s="10"/>
      <c r="GT5" s="158" t="s">
        <v>6</v>
      </c>
      <c r="GU5" s="158" t="s">
        <v>7</v>
      </c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6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</row>
    <row r="6" spans="1:236" x14ac:dyDescent="0.3">
      <c r="A6" s="5">
        <v>2</v>
      </c>
      <c r="B6" s="4" t="s">
        <v>10</v>
      </c>
      <c r="C6" s="172"/>
      <c r="D6" s="173"/>
      <c r="E6" s="10"/>
      <c r="F6" s="10"/>
      <c r="G6" s="172"/>
      <c r="H6" s="173"/>
      <c r="I6" s="10"/>
      <c r="J6" s="10"/>
      <c r="K6" s="10"/>
      <c r="L6" s="10"/>
      <c r="M6" s="10"/>
      <c r="N6" s="50"/>
      <c r="O6" s="10"/>
      <c r="P6" s="16"/>
      <c r="Q6" s="10"/>
      <c r="R6" s="16"/>
      <c r="S6" s="10"/>
      <c r="T6" s="16"/>
      <c r="U6" s="172"/>
      <c r="V6" s="173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72"/>
      <c r="AJ6" s="173"/>
      <c r="AK6" s="10"/>
      <c r="AL6" s="10"/>
      <c r="AM6" s="10"/>
      <c r="AN6" s="10"/>
      <c r="AO6" s="172"/>
      <c r="AP6" s="173"/>
      <c r="AQ6" s="172"/>
      <c r="AR6" s="173"/>
      <c r="AS6" s="10"/>
      <c r="AT6" s="10"/>
      <c r="AU6" s="10"/>
      <c r="AV6" s="10"/>
      <c r="AW6" s="172"/>
      <c r="AX6" s="173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72"/>
      <c r="BL6" s="173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76"/>
      <c r="CA6" s="177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76"/>
      <c r="CM6" s="177"/>
      <c r="CN6" s="176"/>
      <c r="CO6" s="177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59"/>
      <c r="DC6" s="164"/>
      <c r="DD6" s="10"/>
      <c r="DE6" s="10"/>
      <c r="DF6" s="10"/>
      <c r="DG6" s="10"/>
      <c r="DH6" s="159"/>
      <c r="DI6" s="164"/>
      <c r="DJ6" s="10"/>
      <c r="DK6" s="10"/>
      <c r="DL6" s="10"/>
      <c r="DM6" s="10"/>
      <c r="DN6" s="10"/>
      <c r="DO6" s="10"/>
      <c r="DP6" s="159"/>
      <c r="DQ6" s="164"/>
      <c r="DR6" s="10"/>
      <c r="DS6" s="10"/>
      <c r="DT6" s="10"/>
      <c r="DU6" s="134" t="s">
        <v>86</v>
      </c>
      <c r="DW6" s="10"/>
      <c r="DX6" s="134" t="s">
        <v>86</v>
      </c>
      <c r="DY6" s="159"/>
      <c r="DZ6" s="164"/>
      <c r="EA6" s="10"/>
      <c r="EB6" s="134" t="s">
        <v>86</v>
      </c>
      <c r="EC6" s="10"/>
      <c r="ED6" s="10"/>
      <c r="EE6" s="159"/>
      <c r="EF6" s="164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59"/>
      <c r="ET6" s="164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59"/>
      <c r="FF6" s="164"/>
      <c r="FG6" s="159"/>
      <c r="FH6" s="164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59"/>
      <c r="FT6" s="164"/>
      <c r="FU6" s="10"/>
      <c r="FV6" s="7"/>
      <c r="FW6" s="10"/>
      <c r="FX6" s="7"/>
      <c r="FY6" s="10"/>
      <c r="FZ6" s="7"/>
      <c r="GA6" s="10"/>
      <c r="GB6" s="7"/>
      <c r="GC6" s="10"/>
      <c r="GD6" s="7"/>
      <c r="GF6" s="10"/>
      <c r="GG6" s="159"/>
      <c r="GH6" s="159"/>
      <c r="GI6" s="10"/>
      <c r="GJ6" s="10"/>
      <c r="GK6" s="159"/>
      <c r="GL6" s="159"/>
      <c r="GM6" s="10"/>
      <c r="GN6" s="159"/>
      <c r="GO6" s="10"/>
      <c r="GP6" s="10"/>
      <c r="GQ6" s="10"/>
      <c r="GR6" s="10"/>
      <c r="GS6" s="10"/>
      <c r="GT6" s="159"/>
      <c r="GU6" s="159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</row>
    <row r="7" spans="1:236" x14ac:dyDescent="0.3">
      <c r="A7" s="5">
        <v>3</v>
      </c>
      <c r="B7" s="4" t="s">
        <v>11</v>
      </c>
      <c r="C7" s="172"/>
      <c r="D7" s="173"/>
      <c r="E7" s="4"/>
      <c r="F7" s="4"/>
      <c r="G7" s="172"/>
      <c r="H7" s="173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72"/>
      <c r="V7" s="173"/>
      <c r="W7" s="4"/>
      <c r="X7" s="4"/>
      <c r="Y7" s="4"/>
      <c r="Z7" s="4"/>
      <c r="AA7" s="4"/>
      <c r="AB7" s="4"/>
      <c r="AC7" s="10"/>
      <c r="AD7" s="10"/>
      <c r="AE7" s="10"/>
      <c r="AF7" s="10"/>
      <c r="AG7" s="10"/>
      <c r="AH7" s="10"/>
      <c r="AI7" s="172"/>
      <c r="AJ7" s="173"/>
      <c r="AK7" s="10"/>
      <c r="AL7" s="10"/>
      <c r="AM7" s="10"/>
      <c r="AN7" s="10"/>
      <c r="AO7" s="172"/>
      <c r="AP7" s="173"/>
      <c r="AQ7" s="172"/>
      <c r="AR7" s="173"/>
      <c r="AS7" s="10"/>
      <c r="AT7" s="10"/>
      <c r="AU7" s="10"/>
      <c r="AV7" s="10"/>
      <c r="AW7" s="172"/>
      <c r="AX7" s="173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72"/>
      <c r="BL7" s="173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76"/>
      <c r="CA7" s="177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76"/>
      <c r="CM7" s="177"/>
      <c r="CN7" s="176"/>
      <c r="CO7" s="177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52"/>
      <c r="DB7" s="159"/>
      <c r="DC7" s="164"/>
      <c r="DD7" s="10"/>
      <c r="DE7" s="52"/>
      <c r="DF7" s="10"/>
      <c r="DG7" s="10"/>
      <c r="DH7" s="159"/>
      <c r="DI7" s="164"/>
      <c r="DJ7" s="10"/>
      <c r="DK7" s="10"/>
      <c r="DL7" s="10"/>
      <c r="DM7" s="52"/>
      <c r="DN7" s="10"/>
      <c r="DO7" s="52"/>
      <c r="DP7" s="159"/>
      <c r="DQ7" s="164"/>
      <c r="DR7" s="10"/>
      <c r="DS7" s="10"/>
      <c r="DT7" s="10"/>
      <c r="DU7" s="10"/>
      <c r="DW7" s="10"/>
      <c r="DX7" s="10"/>
      <c r="DY7" s="159"/>
      <c r="DZ7" s="164"/>
      <c r="EA7" s="10"/>
      <c r="EB7" s="10"/>
      <c r="EC7" s="10"/>
      <c r="ED7" s="10"/>
      <c r="EE7" s="159"/>
      <c r="EF7" s="164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59"/>
      <c r="ET7" s="164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59"/>
      <c r="FF7" s="164"/>
      <c r="FG7" s="159"/>
      <c r="FH7" s="164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59"/>
      <c r="FT7" s="164"/>
      <c r="FU7" s="10"/>
      <c r="FV7" s="7"/>
      <c r="FW7" s="10"/>
      <c r="FX7" s="7"/>
      <c r="FY7" s="10"/>
      <c r="FZ7" s="7"/>
      <c r="GA7" s="10"/>
      <c r="GB7" s="7"/>
      <c r="GC7" s="10"/>
      <c r="GD7" s="7"/>
      <c r="GF7" s="10"/>
      <c r="GG7" s="159"/>
      <c r="GH7" s="159"/>
      <c r="GI7" s="10"/>
      <c r="GJ7" s="10"/>
      <c r="GK7" s="159"/>
      <c r="GL7" s="159"/>
      <c r="GM7" s="10"/>
      <c r="GN7" s="159"/>
      <c r="GO7" s="10"/>
      <c r="GP7" s="10"/>
      <c r="GQ7" s="10"/>
      <c r="GR7" s="10"/>
      <c r="GS7" s="10"/>
      <c r="GT7" s="159"/>
      <c r="GU7" s="159"/>
      <c r="GV7" s="10"/>
      <c r="GW7" s="10"/>
      <c r="GX7" s="10"/>
      <c r="GY7" s="10"/>
      <c r="GZ7" s="10"/>
      <c r="HA7" s="10"/>
      <c r="HB7" s="10"/>
      <c r="HC7" s="10"/>
      <c r="HD7" s="10"/>
      <c r="HE7" s="10"/>
      <c r="HF7" s="10"/>
      <c r="HG7" s="10"/>
      <c r="HH7" s="10"/>
      <c r="HI7" s="10"/>
      <c r="HJ7" s="10"/>
      <c r="HK7" s="10"/>
      <c r="HL7" s="10"/>
      <c r="HM7" s="10"/>
      <c r="HN7" s="10"/>
      <c r="HO7" s="10"/>
      <c r="HP7" s="10"/>
      <c r="HQ7" s="10"/>
      <c r="HR7" s="10"/>
      <c r="HS7" s="10"/>
      <c r="HT7" s="10"/>
      <c r="HU7" s="10"/>
      <c r="HV7" s="10"/>
      <c r="HW7" s="10"/>
      <c r="HX7" s="10"/>
      <c r="HY7" s="10"/>
      <c r="HZ7" s="10"/>
      <c r="IA7" s="10"/>
      <c r="IB7" s="10"/>
    </row>
    <row r="8" spans="1:236" x14ac:dyDescent="0.3">
      <c r="A8" s="5">
        <v>4</v>
      </c>
      <c r="B8" s="4" t="s">
        <v>12</v>
      </c>
      <c r="C8" s="172"/>
      <c r="D8" s="173"/>
      <c r="E8" s="4"/>
      <c r="F8" s="4"/>
      <c r="G8" s="172"/>
      <c r="H8" s="173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172"/>
      <c r="V8" s="173"/>
      <c r="W8" s="4"/>
      <c r="X8" s="4"/>
      <c r="Y8" s="4"/>
      <c r="Z8" s="4"/>
      <c r="AA8" s="4"/>
      <c r="AB8" s="4"/>
      <c r="AC8" s="10"/>
      <c r="AD8" s="10"/>
      <c r="AE8" s="10"/>
      <c r="AF8" s="10"/>
      <c r="AG8" s="10"/>
      <c r="AH8" s="10"/>
      <c r="AI8" s="172"/>
      <c r="AJ8" s="173"/>
      <c r="AK8" s="10"/>
      <c r="AL8" s="10"/>
      <c r="AM8" s="10"/>
      <c r="AN8" s="10"/>
      <c r="AO8" s="172"/>
      <c r="AP8" s="173"/>
      <c r="AQ8" s="172"/>
      <c r="AR8" s="173"/>
      <c r="AS8" s="10"/>
      <c r="AT8" s="10"/>
      <c r="AU8" s="10"/>
      <c r="AV8" s="10"/>
      <c r="AW8" s="172"/>
      <c r="AX8" s="173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72"/>
      <c r="BL8" s="173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76"/>
      <c r="CA8" s="177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76"/>
      <c r="CM8" s="177"/>
      <c r="CN8" s="176"/>
      <c r="CO8" s="177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59"/>
      <c r="DC8" s="164"/>
      <c r="DD8" s="10"/>
      <c r="DE8" s="10"/>
      <c r="DF8" s="10"/>
      <c r="DG8" s="10"/>
      <c r="DH8" s="159"/>
      <c r="DI8" s="164"/>
      <c r="DJ8" s="52"/>
      <c r="DK8" s="52"/>
      <c r="DL8" s="10"/>
      <c r="DM8" s="10"/>
      <c r="DN8" s="10"/>
      <c r="DO8" s="10"/>
      <c r="DP8" s="159"/>
      <c r="DQ8" s="164"/>
      <c r="DR8" s="10"/>
      <c r="DS8" s="10"/>
      <c r="DT8" s="10"/>
      <c r="DU8" s="10"/>
      <c r="DW8" s="10"/>
      <c r="DX8" s="10"/>
      <c r="DY8" s="159"/>
      <c r="DZ8" s="164"/>
      <c r="EA8" s="10"/>
      <c r="EB8" s="10"/>
      <c r="EC8" s="10"/>
      <c r="ED8" s="10"/>
      <c r="EE8" s="159"/>
      <c r="EF8" s="164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59"/>
      <c r="ET8" s="164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59"/>
      <c r="FF8" s="164"/>
      <c r="FG8" s="159"/>
      <c r="FH8" s="164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59"/>
      <c r="FT8" s="164"/>
      <c r="FU8" s="10"/>
      <c r="FV8" s="7"/>
      <c r="FW8" s="10"/>
      <c r="FX8" s="7"/>
      <c r="FY8" s="10"/>
      <c r="FZ8" s="7"/>
      <c r="GA8" s="10"/>
      <c r="GB8" s="7"/>
      <c r="GC8" s="10"/>
      <c r="GD8" s="7"/>
      <c r="GF8" s="10"/>
      <c r="GG8" s="159"/>
      <c r="GH8" s="159"/>
      <c r="GI8" s="10"/>
      <c r="GJ8" s="10"/>
      <c r="GK8" s="159"/>
      <c r="GL8" s="159"/>
      <c r="GM8" s="10"/>
      <c r="GN8" s="159"/>
      <c r="GO8" s="10"/>
      <c r="GP8" s="10"/>
      <c r="GQ8" s="10"/>
      <c r="GR8" s="10"/>
      <c r="GS8" s="10"/>
      <c r="GT8" s="159"/>
      <c r="GU8" s="159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  <c r="HN8" s="10"/>
      <c r="HO8" s="10"/>
      <c r="HP8" s="10"/>
      <c r="HQ8" s="10"/>
      <c r="HR8" s="10"/>
      <c r="HS8" s="10"/>
      <c r="HT8" s="10"/>
      <c r="HU8" s="10"/>
      <c r="HV8" s="10"/>
      <c r="HW8" s="10"/>
      <c r="HX8" s="10"/>
      <c r="HY8" s="10"/>
      <c r="HZ8" s="10"/>
      <c r="IA8" s="10"/>
      <c r="IB8" s="10"/>
    </row>
    <row r="9" spans="1:236" x14ac:dyDescent="0.3">
      <c r="A9" s="5">
        <v>5</v>
      </c>
      <c r="B9" s="4" t="s">
        <v>13</v>
      </c>
      <c r="C9" s="172"/>
      <c r="D9" s="173"/>
      <c r="E9" s="10"/>
      <c r="F9" s="10"/>
      <c r="G9" s="172"/>
      <c r="H9" s="173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72"/>
      <c r="V9" s="173"/>
      <c r="W9" s="10"/>
      <c r="X9" s="10"/>
      <c r="Y9" s="10"/>
      <c r="Z9" s="10"/>
      <c r="AA9" s="10"/>
      <c r="AB9" s="87"/>
      <c r="AC9" s="10"/>
      <c r="AD9" s="10"/>
      <c r="AE9" s="10"/>
      <c r="AF9" s="10"/>
      <c r="AG9" s="10"/>
      <c r="AH9" s="10"/>
      <c r="AI9" s="172"/>
      <c r="AJ9" s="173"/>
      <c r="AK9" s="10"/>
      <c r="AL9" s="10"/>
      <c r="AM9" s="10"/>
      <c r="AN9" s="10"/>
      <c r="AO9" s="172"/>
      <c r="AP9" s="173"/>
      <c r="AQ9" s="172"/>
      <c r="AR9" s="173"/>
      <c r="AS9" s="10"/>
      <c r="AT9" s="10"/>
      <c r="AU9" s="10"/>
      <c r="AV9" s="10"/>
      <c r="AW9" s="172"/>
      <c r="AX9" s="173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72"/>
      <c r="BL9" s="173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76"/>
      <c r="CA9" s="177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76"/>
      <c r="CM9" s="177"/>
      <c r="CN9" s="176"/>
      <c r="CO9" s="177"/>
      <c r="CP9" s="10"/>
      <c r="CQ9" s="16"/>
      <c r="CR9" s="10"/>
      <c r="CS9" s="16"/>
      <c r="CT9" s="10"/>
      <c r="CU9" s="10"/>
      <c r="CV9" s="10"/>
      <c r="CW9" s="10"/>
      <c r="CX9" s="10"/>
      <c r="CY9" s="10"/>
      <c r="CZ9" s="10"/>
      <c r="DA9" s="10"/>
      <c r="DB9" s="159"/>
      <c r="DC9" s="164"/>
      <c r="DD9" s="10"/>
      <c r="DE9" s="10"/>
      <c r="DF9" s="10"/>
      <c r="DG9" s="10"/>
      <c r="DH9" s="159"/>
      <c r="DI9" s="164"/>
      <c r="DJ9" s="10"/>
      <c r="DK9" s="10"/>
      <c r="DL9" s="10"/>
      <c r="DM9" s="10"/>
      <c r="DN9" s="10"/>
      <c r="DO9" s="10"/>
      <c r="DP9" s="159"/>
      <c r="DQ9" s="164"/>
      <c r="DR9" s="10"/>
      <c r="DS9" s="10"/>
      <c r="DT9" s="10"/>
      <c r="DU9" s="10"/>
      <c r="DW9" s="10"/>
      <c r="DX9" s="10"/>
      <c r="DY9" s="159"/>
      <c r="DZ9" s="164"/>
      <c r="EA9" s="10"/>
      <c r="EB9" s="10"/>
      <c r="EC9" s="10"/>
      <c r="ED9" s="10"/>
      <c r="EE9" s="159"/>
      <c r="EF9" s="164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59"/>
      <c r="ET9" s="164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59"/>
      <c r="FF9" s="164"/>
      <c r="FG9" s="159"/>
      <c r="FH9" s="164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59"/>
      <c r="FT9" s="164"/>
      <c r="FU9" s="10"/>
      <c r="FV9" s="7"/>
      <c r="FW9" s="10"/>
      <c r="FX9" s="7"/>
      <c r="FY9" s="10"/>
      <c r="FZ9" s="7"/>
      <c r="GA9" s="10"/>
      <c r="GB9" s="7"/>
      <c r="GC9" s="10"/>
      <c r="GD9" s="7"/>
      <c r="GF9" s="10"/>
      <c r="GG9" s="159"/>
      <c r="GH9" s="159"/>
      <c r="GI9" s="10"/>
      <c r="GJ9" s="10"/>
      <c r="GK9" s="159"/>
      <c r="GL9" s="159"/>
      <c r="GM9" s="10"/>
      <c r="GN9" s="159"/>
      <c r="GO9" s="10"/>
      <c r="GP9" s="10"/>
      <c r="GQ9" s="10"/>
      <c r="GR9" s="10"/>
      <c r="GS9" s="10"/>
      <c r="GT9" s="159"/>
      <c r="GU9" s="159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</row>
    <row r="10" spans="1:236" x14ac:dyDescent="0.3">
      <c r="A10" s="5">
        <v>6</v>
      </c>
      <c r="B10" s="4" t="s">
        <v>14</v>
      </c>
      <c r="C10" s="172"/>
      <c r="D10" s="173"/>
      <c r="E10" s="10"/>
      <c r="F10" s="10"/>
      <c r="G10" s="172"/>
      <c r="H10" s="173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72"/>
      <c r="V10" s="173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72"/>
      <c r="AJ10" s="173"/>
      <c r="AK10" s="10"/>
      <c r="AL10" s="10"/>
      <c r="AM10" s="10"/>
      <c r="AN10" s="10"/>
      <c r="AO10" s="172"/>
      <c r="AP10" s="173"/>
      <c r="AQ10" s="172"/>
      <c r="AR10" s="173"/>
      <c r="AS10" s="10"/>
      <c r="AT10" s="10"/>
      <c r="AU10" s="10"/>
      <c r="AV10" s="10"/>
      <c r="AW10" s="172"/>
      <c r="AX10" s="173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72"/>
      <c r="BL10" s="173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76"/>
      <c r="CA10" s="177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76"/>
      <c r="CM10" s="177"/>
      <c r="CN10" s="176"/>
      <c r="CO10" s="177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59"/>
      <c r="DC10" s="164"/>
      <c r="DD10" s="10"/>
      <c r="DE10" s="10"/>
      <c r="DF10" s="10"/>
      <c r="DG10" s="10"/>
      <c r="DH10" s="159"/>
      <c r="DI10" s="164"/>
      <c r="DJ10" s="10"/>
      <c r="DK10" s="10"/>
      <c r="DL10" s="10"/>
      <c r="DM10" s="10"/>
      <c r="DN10" s="10"/>
      <c r="DO10" s="10"/>
      <c r="DP10" s="159"/>
      <c r="DQ10" s="164"/>
      <c r="DR10" s="10"/>
      <c r="DS10" s="10"/>
      <c r="DT10" s="10"/>
      <c r="DU10" s="10"/>
      <c r="DW10" s="10"/>
      <c r="DX10" s="10"/>
      <c r="DY10" s="159"/>
      <c r="DZ10" s="164"/>
      <c r="EA10" s="10"/>
      <c r="EB10" s="10"/>
      <c r="EC10" s="10"/>
      <c r="ED10" s="10"/>
      <c r="EE10" s="159"/>
      <c r="EF10" s="164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59"/>
      <c r="ET10" s="164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59"/>
      <c r="FF10" s="164"/>
      <c r="FG10" s="159"/>
      <c r="FH10" s="164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59"/>
      <c r="FT10" s="164"/>
      <c r="FU10" s="10"/>
      <c r="FV10" s="7"/>
      <c r="FW10" s="10"/>
      <c r="FX10" s="7"/>
      <c r="FY10" s="10"/>
      <c r="FZ10" s="7"/>
      <c r="GA10" s="10"/>
      <c r="GB10" s="7"/>
      <c r="GC10" s="10"/>
      <c r="GD10" s="7"/>
      <c r="GF10" s="10"/>
      <c r="GG10" s="159"/>
      <c r="GH10" s="159"/>
      <c r="GI10" s="10"/>
      <c r="GJ10" s="10"/>
      <c r="GK10" s="159"/>
      <c r="GL10" s="159"/>
      <c r="GM10" s="10"/>
      <c r="GN10" s="159"/>
      <c r="GO10" s="10"/>
      <c r="GP10" s="10"/>
      <c r="GQ10" s="10"/>
      <c r="GR10" s="10"/>
      <c r="GS10" s="10"/>
      <c r="GT10" s="159"/>
      <c r="GU10" s="159"/>
      <c r="GV10" s="10"/>
      <c r="GW10" s="10"/>
      <c r="GX10" s="10"/>
      <c r="GY10" s="10"/>
      <c r="GZ10" s="10"/>
      <c r="HA10" s="10"/>
      <c r="HB10" s="10"/>
      <c r="HC10" s="10"/>
      <c r="HD10" s="10"/>
      <c r="HE10" s="10"/>
      <c r="HF10" s="10"/>
      <c r="HG10" s="10"/>
      <c r="HH10" s="10"/>
      <c r="HI10" s="10"/>
      <c r="HJ10" s="10"/>
      <c r="HK10" s="10"/>
      <c r="HL10" s="10"/>
      <c r="HM10" s="10"/>
      <c r="HN10" s="10"/>
      <c r="HO10" s="10"/>
      <c r="HP10" s="10"/>
      <c r="HQ10" s="10"/>
      <c r="HR10" s="10"/>
      <c r="HS10" s="10"/>
      <c r="HT10" s="10"/>
      <c r="HU10" s="10"/>
      <c r="HV10" s="10"/>
      <c r="HW10" s="10"/>
      <c r="HX10" s="10"/>
      <c r="HY10" s="10"/>
      <c r="HZ10" s="10"/>
      <c r="IA10" s="10"/>
      <c r="IB10" s="10"/>
    </row>
    <row r="11" spans="1:236" ht="14.4" hidden="1" customHeight="1" x14ac:dyDescent="0.3">
      <c r="A11" s="5">
        <v>7</v>
      </c>
      <c r="B11" s="4" t="s">
        <v>15</v>
      </c>
      <c r="C11" s="172"/>
      <c r="D11" s="173"/>
      <c r="E11" s="4"/>
      <c r="F11" s="4"/>
      <c r="G11" s="172"/>
      <c r="H11" s="173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172"/>
      <c r="V11" s="173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7"/>
      <c r="AI11" s="172"/>
      <c r="AJ11" s="173"/>
      <c r="AK11" s="4"/>
      <c r="AL11" s="7"/>
      <c r="AM11" s="7"/>
      <c r="AN11" s="7"/>
      <c r="AO11" s="172"/>
      <c r="AP11" s="173"/>
      <c r="AQ11" s="172"/>
      <c r="AR11" s="173"/>
      <c r="AS11" s="7"/>
      <c r="AT11" s="7"/>
      <c r="AU11" s="7"/>
      <c r="AV11" s="7"/>
      <c r="AW11" s="172"/>
      <c r="AX11" s="173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172"/>
      <c r="BL11" s="173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176"/>
      <c r="CA11" s="17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176"/>
      <c r="CM11" s="177"/>
      <c r="CN11" s="176"/>
      <c r="CO11" s="17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159"/>
      <c r="DC11" s="164"/>
      <c r="DD11" s="7"/>
      <c r="DE11" s="7"/>
      <c r="DF11" s="7"/>
      <c r="DG11" s="7"/>
      <c r="DH11" s="159"/>
      <c r="DI11" s="164"/>
      <c r="DJ11" s="7"/>
      <c r="DK11" s="7"/>
      <c r="DL11" s="7"/>
      <c r="DM11" s="7"/>
      <c r="DN11" s="7"/>
      <c r="DO11" s="7"/>
      <c r="DP11" s="159"/>
      <c r="DQ11" s="164"/>
      <c r="DR11" s="7"/>
      <c r="DS11" s="7"/>
      <c r="DT11" s="7"/>
      <c r="DU11" s="7"/>
      <c r="DW11" s="7"/>
      <c r="DX11" s="7"/>
      <c r="DY11" s="159"/>
      <c r="DZ11" s="164"/>
      <c r="EA11" s="7"/>
      <c r="EB11" s="7"/>
      <c r="EC11" s="7"/>
      <c r="ED11" s="7"/>
      <c r="EE11" s="159"/>
      <c r="EF11" s="164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159"/>
      <c r="ET11" s="164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159"/>
      <c r="FF11" s="164"/>
      <c r="FG11" s="159"/>
      <c r="FH11" s="164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159"/>
      <c r="FT11" s="164"/>
      <c r="FU11" s="7"/>
      <c r="FV11" s="7"/>
      <c r="FW11" s="7"/>
      <c r="FX11" s="7"/>
      <c r="FY11" s="7"/>
      <c r="FZ11" s="7"/>
      <c r="GA11" s="7"/>
      <c r="GB11" s="7"/>
      <c r="GC11" s="7"/>
      <c r="GD11" s="7"/>
      <c r="GF11" s="7"/>
      <c r="GG11" s="159"/>
      <c r="GH11" s="159"/>
      <c r="GI11" s="7"/>
      <c r="GJ11" s="7"/>
      <c r="GK11" s="159"/>
      <c r="GL11" s="159"/>
      <c r="GM11" s="7"/>
      <c r="GN11" s="159"/>
      <c r="GO11" s="7"/>
      <c r="GP11" s="7"/>
      <c r="GQ11" s="7"/>
      <c r="GR11" s="7"/>
      <c r="GS11" s="7"/>
      <c r="GT11" s="159"/>
      <c r="GU11" s="159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</row>
    <row r="12" spans="1:236" x14ac:dyDescent="0.3">
      <c r="A12" s="5">
        <v>8</v>
      </c>
      <c r="B12" s="4" t="s">
        <v>16</v>
      </c>
      <c r="C12" s="172"/>
      <c r="D12" s="173"/>
      <c r="E12" s="10"/>
      <c r="F12" s="10"/>
      <c r="G12" s="172"/>
      <c r="H12" s="173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72"/>
      <c r="V12" s="173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72"/>
      <c r="AJ12" s="173"/>
      <c r="AK12" s="10"/>
      <c r="AL12" s="10"/>
      <c r="AM12" s="10"/>
      <c r="AN12" s="10"/>
      <c r="AO12" s="172"/>
      <c r="AP12" s="173"/>
      <c r="AQ12" s="172"/>
      <c r="AR12" s="173"/>
      <c r="AS12" s="10"/>
      <c r="AT12" s="10"/>
      <c r="AU12" s="10"/>
      <c r="AV12" s="10"/>
      <c r="AW12" s="172"/>
      <c r="AX12" s="173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72"/>
      <c r="BL12" s="173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76"/>
      <c r="CA12" s="177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76"/>
      <c r="CM12" s="177"/>
      <c r="CN12" s="176"/>
      <c r="CO12" s="177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59"/>
      <c r="DC12" s="164"/>
      <c r="DD12" s="10"/>
      <c r="DE12" s="10"/>
      <c r="DF12" s="10"/>
      <c r="DG12" s="10"/>
      <c r="DH12" s="159"/>
      <c r="DI12" s="164"/>
      <c r="DJ12" s="10"/>
      <c r="DK12" s="10"/>
      <c r="DL12" s="10"/>
      <c r="DM12" s="10"/>
      <c r="DN12" s="10"/>
      <c r="DO12" s="10"/>
      <c r="DP12" s="159"/>
      <c r="DQ12" s="164"/>
      <c r="DR12" s="10"/>
      <c r="DS12" s="10"/>
      <c r="DT12" s="10"/>
      <c r="DU12" s="10"/>
      <c r="DW12" s="10"/>
      <c r="DX12" s="10"/>
      <c r="DY12" s="159"/>
      <c r="DZ12" s="164"/>
      <c r="EA12" s="10"/>
      <c r="EB12" s="10"/>
      <c r="EC12" s="10"/>
      <c r="ED12" s="10"/>
      <c r="EE12" s="159"/>
      <c r="EF12" s="164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59"/>
      <c r="ET12" s="164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59"/>
      <c r="FF12" s="164"/>
      <c r="FG12" s="159"/>
      <c r="FH12" s="164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59"/>
      <c r="FT12" s="164"/>
      <c r="FU12" s="10"/>
      <c r="FV12" s="7"/>
      <c r="FW12" s="10"/>
      <c r="FX12" s="7"/>
      <c r="FY12" s="10"/>
      <c r="FZ12" s="7"/>
      <c r="GA12" s="10"/>
      <c r="GB12" s="7"/>
      <c r="GC12" s="10"/>
      <c r="GD12" s="7"/>
      <c r="GF12" s="10"/>
      <c r="GG12" s="159"/>
      <c r="GH12" s="159"/>
      <c r="GI12" s="10"/>
      <c r="GJ12" s="10"/>
      <c r="GK12" s="159"/>
      <c r="GL12" s="159"/>
      <c r="GM12" s="10"/>
      <c r="GN12" s="159"/>
      <c r="GO12" s="10"/>
      <c r="GP12" s="10"/>
      <c r="GQ12" s="10"/>
      <c r="GR12" s="10"/>
      <c r="GS12" s="10"/>
      <c r="GT12" s="159"/>
      <c r="GU12" s="159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</row>
    <row r="13" spans="1:236" x14ac:dyDescent="0.3">
      <c r="A13" s="5">
        <v>9</v>
      </c>
      <c r="B13" s="4" t="s">
        <v>17</v>
      </c>
      <c r="C13" s="172"/>
      <c r="D13" s="173"/>
      <c r="E13" s="10"/>
      <c r="F13" s="10"/>
      <c r="G13" s="172"/>
      <c r="H13" s="173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2"/>
      <c r="V13" s="173"/>
      <c r="W13" s="10"/>
      <c r="X13" s="10"/>
      <c r="Y13" s="10"/>
      <c r="Z13" s="10"/>
      <c r="AA13" s="88"/>
      <c r="AB13" s="10"/>
      <c r="AC13" s="10"/>
      <c r="AD13" s="10"/>
      <c r="AE13" s="10"/>
      <c r="AF13" s="10"/>
      <c r="AG13" s="10"/>
      <c r="AH13" s="10"/>
      <c r="AI13" s="172"/>
      <c r="AJ13" s="173"/>
      <c r="AK13" s="10"/>
      <c r="AL13" s="10"/>
      <c r="AM13" s="10"/>
      <c r="AN13" s="10"/>
      <c r="AO13" s="172"/>
      <c r="AP13" s="173"/>
      <c r="AQ13" s="172"/>
      <c r="AR13" s="173"/>
      <c r="AS13" s="10"/>
      <c r="AT13" s="10"/>
      <c r="AU13" s="10"/>
      <c r="AV13" s="10"/>
      <c r="AW13" s="172"/>
      <c r="AX13" s="173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72"/>
      <c r="BL13" s="173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76"/>
      <c r="CA13" s="177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76"/>
      <c r="CM13" s="177"/>
      <c r="CN13" s="176"/>
      <c r="CO13" s="177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59"/>
      <c r="DC13" s="164"/>
      <c r="DD13" s="10"/>
      <c r="DE13" s="10"/>
      <c r="DF13" s="10"/>
      <c r="DG13" s="10"/>
      <c r="DH13" s="159"/>
      <c r="DI13" s="164"/>
      <c r="DJ13" s="10"/>
      <c r="DK13" s="10"/>
      <c r="DL13" s="10"/>
      <c r="DM13" s="10"/>
      <c r="DN13" s="10"/>
      <c r="DO13" s="10"/>
      <c r="DP13" s="159"/>
      <c r="DQ13" s="164"/>
      <c r="DR13" s="10"/>
      <c r="DS13" s="10"/>
      <c r="DT13" s="10"/>
      <c r="DU13" s="10"/>
      <c r="DW13" s="10"/>
      <c r="DX13" s="10"/>
      <c r="DY13" s="159"/>
      <c r="DZ13" s="164"/>
      <c r="EA13" s="10"/>
      <c r="EB13" s="10"/>
      <c r="EC13" s="10"/>
      <c r="ED13" s="10"/>
      <c r="EE13" s="159"/>
      <c r="EF13" s="164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59"/>
      <c r="ET13" s="164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59"/>
      <c r="FF13" s="164"/>
      <c r="FG13" s="159"/>
      <c r="FH13" s="164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59"/>
      <c r="FT13" s="164"/>
      <c r="FU13" s="10"/>
      <c r="FV13" s="7"/>
      <c r="FW13" s="10"/>
      <c r="FX13" s="7"/>
      <c r="FY13" s="10"/>
      <c r="FZ13" s="7"/>
      <c r="GA13" s="10"/>
      <c r="GB13" s="7"/>
      <c r="GC13" s="10"/>
      <c r="GD13" s="7"/>
      <c r="GF13" s="10"/>
      <c r="GG13" s="159"/>
      <c r="GH13" s="159"/>
      <c r="GI13" s="10"/>
      <c r="GJ13" s="10"/>
      <c r="GK13" s="159"/>
      <c r="GL13" s="159"/>
      <c r="GM13" s="10"/>
      <c r="GN13" s="159"/>
      <c r="GO13" s="10"/>
      <c r="GP13" s="10"/>
      <c r="GQ13" s="10"/>
      <c r="GR13" s="10"/>
      <c r="GS13" s="10"/>
      <c r="GT13" s="159"/>
      <c r="GU13" s="159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"/>
      <c r="HX13" s="10"/>
      <c r="HY13" s="10"/>
      <c r="HZ13" s="10"/>
      <c r="IA13" s="10"/>
      <c r="IB13" s="10"/>
    </row>
    <row r="14" spans="1:236" ht="14.4" hidden="1" customHeight="1" x14ac:dyDescent="0.3">
      <c r="A14" s="5">
        <v>10</v>
      </c>
      <c r="B14" s="4" t="s">
        <v>18</v>
      </c>
      <c r="C14" s="172"/>
      <c r="D14" s="173"/>
      <c r="E14" s="4"/>
      <c r="F14" s="4"/>
      <c r="G14" s="172"/>
      <c r="H14" s="173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172"/>
      <c r="V14" s="173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7"/>
      <c r="AI14" s="172"/>
      <c r="AJ14" s="173"/>
      <c r="AK14" s="4"/>
      <c r="AL14" s="7"/>
      <c r="AM14" s="7"/>
      <c r="AN14" s="7"/>
      <c r="AO14" s="172"/>
      <c r="AP14" s="173"/>
      <c r="AQ14" s="172"/>
      <c r="AR14" s="173"/>
      <c r="AS14" s="7"/>
      <c r="AT14" s="7"/>
      <c r="AU14" s="7"/>
      <c r="AV14" s="7"/>
      <c r="AW14" s="172"/>
      <c r="AX14" s="173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172"/>
      <c r="BL14" s="173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176"/>
      <c r="CA14" s="17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176"/>
      <c r="CM14" s="177"/>
      <c r="CN14" s="176"/>
      <c r="CO14" s="17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159"/>
      <c r="DC14" s="164"/>
      <c r="DD14" s="7"/>
      <c r="DE14" s="7"/>
      <c r="DF14" s="7"/>
      <c r="DG14" s="7"/>
      <c r="DH14" s="159"/>
      <c r="DI14" s="164"/>
      <c r="DJ14" s="7"/>
      <c r="DK14" s="7"/>
      <c r="DL14" s="7"/>
      <c r="DM14" s="7"/>
      <c r="DN14" s="7"/>
      <c r="DO14" s="7"/>
      <c r="DP14" s="159"/>
      <c r="DQ14" s="164"/>
      <c r="DR14" s="7"/>
      <c r="DS14" s="7"/>
      <c r="DT14" s="7"/>
      <c r="DU14" s="7"/>
      <c r="DW14" s="7"/>
      <c r="DX14" s="7"/>
      <c r="DY14" s="159"/>
      <c r="DZ14" s="164"/>
      <c r="EA14" s="7"/>
      <c r="EB14" s="7"/>
      <c r="EC14" s="7"/>
      <c r="ED14" s="7"/>
      <c r="EE14" s="159"/>
      <c r="EF14" s="164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159"/>
      <c r="ET14" s="164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159"/>
      <c r="FF14" s="164"/>
      <c r="FG14" s="159"/>
      <c r="FH14" s="164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159"/>
      <c r="FT14" s="164"/>
      <c r="FU14" s="7"/>
      <c r="FV14" s="7"/>
      <c r="FW14" s="7"/>
      <c r="FX14" s="7"/>
      <c r="FY14" s="7"/>
      <c r="FZ14" s="7"/>
      <c r="GA14" s="7"/>
      <c r="GB14" s="7"/>
      <c r="GC14" s="7"/>
      <c r="GD14" s="7"/>
      <c r="GF14" s="7"/>
      <c r="GG14" s="159"/>
      <c r="GH14" s="159"/>
      <c r="GI14" s="7"/>
      <c r="GJ14" s="7"/>
      <c r="GK14" s="159"/>
      <c r="GL14" s="159"/>
      <c r="GM14" s="7"/>
      <c r="GN14" s="159"/>
      <c r="GO14" s="7"/>
      <c r="GP14" s="7"/>
      <c r="GQ14" s="7"/>
      <c r="GR14" s="7"/>
      <c r="GS14" s="7"/>
      <c r="GT14" s="159"/>
      <c r="GU14" s="159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</row>
    <row r="15" spans="1:236" ht="14.4" hidden="1" customHeight="1" x14ac:dyDescent="0.3">
      <c r="A15" s="5">
        <v>11</v>
      </c>
      <c r="B15" s="4" t="s">
        <v>19</v>
      </c>
      <c r="C15" s="172"/>
      <c r="D15" s="173"/>
      <c r="E15" s="4"/>
      <c r="F15" s="4"/>
      <c r="G15" s="172"/>
      <c r="H15" s="173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172"/>
      <c r="V15" s="173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7"/>
      <c r="AI15" s="172"/>
      <c r="AJ15" s="173"/>
      <c r="AK15" s="4"/>
      <c r="AL15" s="7"/>
      <c r="AM15" s="7"/>
      <c r="AN15" s="7"/>
      <c r="AO15" s="172"/>
      <c r="AP15" s="173"/>
      <c r="AQ15" s="172"/>
      <c r="AR15" s="173"/>
      <c r="AS15" s="7"/>
      <c r="AT15" s="7"/>
      <c r="AU15" s="7"/>
      <c r="AV15" s="7"/>
      <c r="AW15" s="172"/>
      <c r="AX15" s="173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172"/>
      <c r="BL15" s="173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176"/>
      <c r="CA15" s="17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176"/>
      <c r="CM15" s="177"/>
      <c r="CN15" s="176"/>
      <c r="CO15" s="17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159"/>
      <c r="DC15" s="164"/>
      <c r="DD15" s="7"/>
      <c r="DE15" s="7"/>
      <c r="DF15" s="7"/>
      <c r="DG15" s="7"/>
      <c r="DH15" s="159"/>
      <c r="DI15" s="164"/>
      <c r="DJ15" s="7"/>
      <c r="DK15" s="7"/>
      <c r="DL15" s="7"/>
      <c r="DM15" s="7"/>
      <c r="DN15" s="7"/>
      <c r="DO15" s="7"/>
      <c r="DP15" s="159"/>
      <c r="DQ15" s="164"/>
      <c r="DR15" s="7"/>
      <c r="DS15" s="7"/>
      <c r="DT15" s="7"/>
      <c r="DU15" s="7"/>
      <c r="DW15" s="7"/>
      <c r="DX15" s="7"/>
      <c r="DY15" s="159"/>
      <c r="DZ15" s="164"/>
      <c r="EA15" s="7"/>
      <c r="EB15" s="7"/>
      <c r="EC15" s="7"/>
      <c r="ED15" s="7"/>
      <c r="EE15" s="159"/>
      <c r="EF15" s="164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159"/>
      <c r="ET15" s="164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159"/>
      <c r="FF15" s="164"/>
      <c r="FG15" s="159"/>
      <c r="FH15" s="164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159"/>
      <c r="FT15" s="164"/>
      <c r="FU15" s="7"/>
      <c r="FV15" s="7"/>
      <c r="FW15" s="7"/>
      <c r="FX15" s="7"/>
      <c r="FY15" s="7"/>
      <c r="FZ15" s="7"/>
      <c r="GA15" s="7"/>
      <c r="GB15" s="7"/>
      <c r="GC15" s="7"/>
      <c r="GD15" s="7"/>
      <c r="GF15" s="7"/>
      <c r="GG15" s="159"/>
      <c r="GH15" s="159"/>
      <c r="GI15" s="7"/>
      <c r="GJ15" s="7"/>
      <c r="GK15" s="159"/>
      <c r="GL15" s="159"/>
      <c r="GM15" s="7"/>
      <c r="GN15" s="159"/>
      <c r="GO15" s="7"/>
      <c r="GP15" s="7"/>
      <c r="GQ15" s="7"/>
      <c r="GR15" s="7"/>
      <c r="GS15" s="7"/>
      <c r="GT15" s="159"/>
      <c r="GU15" s="159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</row>
    <row r="16" spans="1:236" x14ac:dyDescent="0.3">
      <c r="A16" s="5">
        <v>12</v>
      </c>
      <c r="B16" s="4" t="s">
        <v>20</v>
      </c>
      <c r="C16" s="172"/>
      <c r="D16" s="173"/>
      <c r="E16" s="4"/>
      <c r="F16" s="10"/>
      <c r="G16" s="172"/>
      <c r="H16" s="173"/>
      <c r="I16" s="4"/>
      <c r="J16" s="10"/>
      <c r="K16" s="4"/>
      <c r="L16" s="10"/>
      <c r="M16" s="4"/>
      <c r="N16" s="10"/>
      <c r="O16" s="4"/>
      <c r="P16" s="10"/>
      <c r="Q16" s="4"/>
      <c r="R16" s="10"/>
      <c r="S16" s="4"/>
      <c r="T16" s="10"/>
      <c r="U16" s="172"/>
      <c r="V16" s="173"/>
      <c r="W16" s="4"/>
      <c r="X16" s="10"/>
      <c r="Y16" s="4"/>
      <c r="Z16" s="10"/>
      <c r="AA16" s="4"/>
      <c r="AB16" s="10"/>
      <c r="AC16" s="4"/>
      <c r="AD16" s="10"/>
      <c r="AE16" s="4"/>
      <c r="AF16" s="10"/>
      <c r="AG16" s="4"/>
      <c r="AH16" s="10"/>
      <c r="AI16" s="172"/>
      <c r="AJ16" s="173"/>
      <c r="AK16" s="4"/>
      <c r="AL16" s="10"/>
      <c r="AM16" s="7"/>
      <c r="AN16" s="10"/>
      <c r="AO16" s="172"/>
      <c r="AP16" s="173"/>
      <c r="AQ16" s="172"/>
      <c r="AR16" s="173"/>
      <c r="AS16" s="7"/>
      <c r="AT16" s="10"/>
      <c r="AU16" s="7"/>
      <c r="AV16" s="10"/>
      <c r="AW16" s="172"/>
      <c r="AX16" s="173"/>
      <c r="AY16" s="7"/>
      <c r="AZ16" s="10"/>
      <c r="BA16" s="7"/>
      <c r="BB16" s="10"/>
      <c r="BC16" s="7"/>
      <c r="BD16" s="10"/>
      <c r="BE16" s="7"/>
      <c r="BF16" s="10"/>
      <c r="BG16" s="7"/>
      <c r="BH16" s="10"/>
      <c r="BI16" s="7"/>
      <c r="BJ16" s="10"/>
      <c r="BK16" s="172"/>
      <c r="BL16" s="173"/>
      <c r="BN16" s="7"/>
      <c r="BO16" s="10"/>
      <c r="BP16" s="7"/>
      <c r="BQ16" s="10"/>
      <c r="BR16" s="7"/>
      <c r="BS16" s="10"/>
      <c r="BT16" s="7"/>
      <c r="BU16" s="10"/>
      <c r="BV16" s="7"/>
      <c r="BW16" s="10"/>
      <c r="BX16" s="7"/>
      <c r="BY16" s="10"/>
      <c r="BZ16" s="176"/>
      <c r="CA16" s="177"/>
      <c r="CB16" s="7"/>
      <c r="CC16" s="10"/>
      <c r="CD16" s="7"/>
      <c r="CE16" s="10"/>
      <c r="CF16" s="7"/>
      <c r="CG16" s="10"/>
      <c r="CH16" s="7"/>
      <c r="CI16" s="10"/>
      <c r="CJ16" s="7"/>
      <c r="CK16" s="10"/>
      <c r="CL16" s="176"/>
      <c r="CM16" s="177"/>
      <c r="CN16" s="176"/>
      <c r="CO16" s="177"/>
      <c r="CP16" s="7"/>
      <c r="CQ16" s="10"/>
      <c r="CR16" s="7"/>
      <c r="CS16" s="10"/>
      <c r="CT16" s="7"/>
      <c r="CU16" s="10"/>
      <c r="CV16" s="7"/>
      <c r="CW16" s="10"/>
      <c r="CX16" s="7"/>
      <c r="CY16" s="10"/>
      <c r="CZ16" s="7"/>
      <c r="DA16" s="10"/>
      <c r="DB16" s="159"/>
      <c r="DC16" s="164"/>
      <c r="DD16" s="7"/>
      <c r="DE16" s="10"/>
      <c r="DF16" s="7"/>
      <c r="DG16" s="10"/>
      <c r="DH16" s="159"/>
      <c r="DI16" s="164"/>
      <c r="DJ16" s="7"/>
      <c r="DK16" s="10"/>
      <c r="DL16" s="7"/>
      <c r="DM16" s="10"/>
      <c r="DN16" s="7"/>
      <c r="DO16" s="10"/>
      <c r="DP16" s="159"/>
      <c r="DQ16" s="164"/>
      <c r="DR16" s="52"/>
      <c r="DS16" s="10"/>
      <c r="DT16" s="52"/>
      <c r="DU16" s="10"/>
      <c r="DW16" s="52"/>
      <c r="DX16" s="10"/>
      <c r="DY16" s="159"/>
      <c r="DZ16" s="164"/>
      <c r="EA16" s="10"/>
      <c r="EB16" s="10"/>
      <c r="EC16" s="10"/>
      <c r="ED16" s="10"/>
      <c r="EE16" s="159"/>
      <c r="EF16" s="164"/>
      <c r="EG16" s="10"/>
      <c r="EH16" s="10"/>
      <c r="EI16" s="10"/>
      <c r="EJ16" s="10"/>
      <c r="EK16" s="16"/>
      <c r="EL16" s="10"/>
      <c r="EM16" s="16"/>
      <c r="EN16" s="10"/>
      <c r="EO16" s="16"/>
      <c r="EP16" s="10"/>
      <c r="EQ16" s="16"/>
      <c r="ER16" s="10"/>
      <c r="ES16" s="159"/>
      <c r="ET16" s="164"/>
      <c r="EU16" s="16"/>
      <c r="EV16" s="10"/>
      <c r="EW16" s="16"/>
      <c r="EX16" s="10"/>
      <c r="EY16" s="16"/>
      <c r="EZ16" s="10"/>
      <c r="FA16" s="16"/>
      <c r="FB16" s="10"/>
      <c r="FC16" s="16"/>
      <c r="FD16" s="10"/>
      <c r="FE16" s="159"/>
      <c r="FF16" s="164"/>
      <c r="FG16" s="159"/>
      <c r="FH16" s="164"/>
      <c r="FI16" s="16"/>
      <c r="FJ16" s="10"/>
      <c r="FK16" s="16"/>
      <c r="FL16" s="10"/>
      <c r="FM16" s="16"/>
      <c r="FN16" s="10"/>
      <c r="FO16" s="16"/>
      <c r="FP16" s="10"/>
      <c r="FQ16" s="10"/>
      <c r="FR16" s="10"/>
      <c r="FS16" s="159"/>
      <c r="FT16" s="164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F16" s="10"/>
      <c r="GG16" s="159"/>
      <c r="GH16" s="159"/>
      <c r="GI16" s="10"/>
      <c r="GJ16" s="10"/>
      <c r="GK16" s="159"/>
      <c r="GL16" s="159"/>
      <c r="GM16" s="10"/>
      <c r="GN16" s="159"/>
      <c r="GO16" s="10"/>
      <c r="GP16" s="10"/>
      <c r="GQ16" s="10"/>
      <c r="GR16" s="10"/>
      <c r="GS16" s="10"/>
      <c r="GT16" s="159"/>
      <c r="GU16" s="159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  <c r="HT16" s="10"/>
      <c r="HU16" s="10"/>
      <c r="HV16" s="10"/>
      <c r="HW16" s="10"/>
      <c r="HX16" s="10"/>
      <c r="HY16" s="10"/>
      <c r="HZ16" s="10"/>
      <c r="IA16" s="10"/>
      <c r="IB16" s="10"/>
    </row>
    <row r="17" spans="1:236" ht="14.4" hidden="1" customHeight="1" x14ac:dyDescent="0.3">
      <c r="A17" s="5">
        <v>13</v>
      </c>
      <c r="B17" s="4" t="s">
        <v>21</v>
      </c>
      <c r="C17" s="172"/>
      <c r="D17" s="173"/>
      <c r="E17" s="4"/>
      <c r="F17" s="4"/>
      <c r="G17" s="172"/>
      <c r="H17" s="173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172"/>
      <c r="V17" s="173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7"/>
      <c r="AI17" s="172"/>
      <c r="AJ17" s="173"/>
      <c r="AK17" s="4"/>
      <c r="AL17" s="7"/>
      <c r="AM17" s="7"/>
      <c r="AN17" s="7"/>
      <c r="AO17" s="172"/>
      <c r="AP17" s="173"/>
      <c r="AQ17" s="172"/>
      <c r="AR17" s="173"/>
      <c r="AS17" s="7"/>
      <c r="AT17" s="7"/>
      <c r="AU17" s="7"/>
      <c r="AV17" s="7"/>
      <c r="AW17" s="172"/>
      <c r="AX17" s="173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172"/>
      <c r="BL17" s="173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176"/>
      <c r="CA17" s="17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176"/>
      <c r="CM17" s="177"/>
      <c r="CN17" s="176"/>
      <c r="CO17" s="17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159"/>
      <c r="DC17" s="164"/>
      <c r="DD17" s="7"/>
      <c r="DE17" s="7"/>
      <c r="DF17" s="7"/>
      <c r="DG17" s="7"/>
      <c r="DH17" s="159"/>
      <c r="DI17" s="164"/>
      <c r="DJ17" s="7"/>
      <c r="DK17" s="7"/>
      <c r="DL17" s="7"/>
      <c r="DM17" s="7"/>
      <c r="DN17" s="7"/>
      <c r="DO17" s="7"/>
      <c r="DP17" s="159"/>
      <c r="DQ17" s="164"/>
      <c r="DR17" s="7"/>
      <c r="DS17" s="7"/>
      <c r="DT17" s="7"/>
      <c r="DU17" s="7"/>
      <c r="DW17" s="7"/>
      <c r="DX17" s="7"/>
      <c r="DY17" s="159"/>
      <c r="DZ17" s="164"/>
      <c r="EA17" s="7"/>
      <c r="EB17" s="7"/>
      <c r="EC17" s="7"/>
      <c r="ED17" s="7"/>
      <c r="EE17" s="159"/>
      <c r="EF17" s="164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159"/>
      <c r="ET17" s="164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159"/>
      <c r="FF17" s="164"/>
      <c r="FG17" s="159"/>
      <c r="FH17" s="164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159"/>
      <c r="FT17" s="164"/>
      <c r="FU17" s="7"/>
      <c r="FV17" s="7"/>
      <c r="FW17" s="7"/>
      <c r="FX17" s="7"/>
      <c r="FY17" s="7"/>
      <c r="FZ17" s="7"/>
      <c r="GA17" s="7"/>
      <c r="GB17" s="7"/>
      <c r="GC17" s="7"/>
      <c r="GD17" s="7"/>
      <c r="GF17" s="7"/>
      <c r="GG17" s="159"/>
      <c r="GH17" s="159"/>
      <c r="GI17" s="7"/>
      <c r="GJ17" s="7"/>
      <c r="GK17" s="159"/>
      <c r="GL17" s="159"/>
      <c r="GM17" s="7"/>
      <c r="GN17" s="159"/>
      <c r="GO17" s="7"/>
      <c r="GP17" s="7"/>
      <c r="GQ17" s="7"/>
      <c r="GR17" s="7"/>
      <c r="GS17" s="7"/>
      <c r="GT17" s="159"/>
      <c r="GU17" s="159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</row>
    <row r="18" spans="1:236" x14ac:dyDescent="0.3">
      <c r="A18" s="5">
        <v>14</v>
      </c>
      <c r="B18" s="4" t="s">
        <v>22</v>
      </c>
      <c r="C18" s="172"/>
      <c r="D18" s="173"/>
      <c r="E18" s="10"/>
      <c r="F18" s="10"/>
      <c r="G18" s="172"/>
      <c r="H18" s="173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72"/>
      <c r="V18" s="173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72"/>
      <c r="AJ18" s="173"/>
      <c r="AK18" s="10"/>
      <c r="AL18" s="10"/>
      <c r="AM18" s="10"/>
      <c r="AN18" s="10"/>
      <c r="AO18" s="172"/>
      <c r="AP18" s="173"/>
      <c r="AQ18" s="172"/>
      <c r="AR18" s="173"/>
      <c r="AS18" s="10"/>
      <c r="AT18" s="10"/>
      <c r="AU18" s="10"/>
      <c r="AV18" s="10"/>
      <c r="AW18" s="172"/>
      <c r="AX18" s="173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72"/>
      <c r="BL18" s="173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76"/>
      <c r="CA18" s="177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76"/>
      <c r="CM18" s="177"/>
      <c r="CN18" s="176"/>
      <c r="CO18" s="177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59"/>
      <c r="DC18" s="164"/>
      <c r="DD18" s="10"/>
      <c r="DE18" s="10"/>
      <c r="DF18" s="10"/>
      <c r="DG18" s="10"/>
      <c r="DH18" s="159"/>
      <c r="DI18" s="164"/>
      <c r="DJ18" s="10"/>
      <c r="DK18" s="10"/>
      <c r="DL18" s="10"/>
      <c r="DM18" s="10"/>
      <c r="DN18" s="10"/>
      <c r="DO18" s="10"/>
      <c r="DP18" s="159"/>
      <c r="DQ18" s="164"/>
      <c r="DR18" s="10"/>
      <c r="DS18" s="10"/>
      <c r="DT18" s="10"/>
      <c r="DU18" s="10"/>
      <c r="DW18" s="10"/>
      <c r="DX18" s="10"/>
      <c r="DY18" s="159"/>
      <c r="DZ18" s="164"/>
      <c r="EA18" s="10"/>
      <c r="EB18" s="10"/>
      <c r="EC18" s="10"/>
      <c r="ED18" s="10"/>
      <c r="EE18" s="159"/>
      <c r="EF18" s="164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59"/>
      <c r="ET18" s="164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59"/>
      <c r="FF18" s="164"/>
      <c r="FG18" s="159"/>
      <c r="FH18" s="164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59"/>
      <c r="FT18" s="164"/>
      <c r="FU18" s="10"/>
      <c r="FV18" s="7"/>
      <c r="FW18" s="10"/>
      <c r="FX18" s="7"/>
      <c r="FY18" s="10"/>
      <c r="FZ18" s="7"/>
      <c r="GA18" s="10"/>
      <c r="GB18" s="7"/>
      <c r="GC18" s="10"/>
      <c r="GD18" s="7"/>
      <c r="GF18" s="10"/>
      <c r="GG18" s="159"/>
      <c r="GH18" s="159"/>
      <c r="GI18" s="10"/>
      <c r="GJ18" s="10"/>
      <c r="GK18" s="159"/>
      <c r="GL18" s="159"/>
      <c r="GM18" s="10"/>
      <c r="GN18" s="159"/>
      <c r="GO18" s="10"/>
      <c r="GP18" s="10"/>
      <c r="GQ18" s="10"/>
      <c r="GR18" s="10"/>
      <c r="GS18" s="10"/>
      <c r="GT18" s="159"/>
      <c r="GU18" s="159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  <c r="HU18" s="10"/>
      <c r="HV18" s="10"/>
      <c r="HW18" s="10"/>
      <c r="HX18" s="10"/>
      <c r="HY18" s="10"/>
      <c r="HZ18" s="10"/>
      <c r="IA18" s="10"/>
      <c r="IB18" s="10"/>
    </row>
    <row r="19" spans="1:236" x14ac:dyDescent="0.3">
      <c r="A19" s="5">
        <v>15</v>
      </c>
      <c r="B19" s="4" t="s">
        <v>23</v>
      </c>
      <c r="C19" s="172"/>
      <c r="D19" s="173"/>
      <c r="E19" s="10"/>
      <c r="F19" s="10"/>
      <c r="G19" s="172"/>
      <c r="H19" s="173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72"/>
      <c r="V19" s="173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72"/>
      <c r="AJ19" s="173"/>
      <c r="AK19" s="10"/>
      <c r="AL19" s="10"/>
      <c r="AM19" s="10"/>
      <c r="AN19" s="10"/>
      <c r="AO19" s="172"/>
      <c r="AP19" s="173"/>
      <c r="AQ19" s="172"/>
      <c r="AR19" s="173"/>
      <c r="AS19" s="10"/>
      <c r="AT19" s="10"/>
      <c r="AU19" s="10"/>
      <c r="AV19" s="10"/>
      <c r="AW19" s="172"/>
      <c r="AX19" s="173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72"/>
      <c r="BL19" s="173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76"/>
      <c r="CA19" s="177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76"/>
      <c r="CM19" s="177"/>
      <c r="CN19" s="176"/>
      <c r="CO19" s="177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59"/>
      <c r="DC19" s="164"/>
      <c r="DD19" s="10"/>
      <c r="DE19" s="10"/>
      <c r="DF19" s="10"/>
      <c r="DG19" s="10"/>
      <c r="DH19" s="159"/>
      <c r="DI19" s="164"/>
      <c r="DJ19" s="10"/>
      <c r="DK19" s="10"/>
      <c r="DL19" s="10"/>
      <c r="DM19" s="10"/>
      <c r="DN19" s="10"/>
      <c r="DO19" s="10"/>
      <c r="DP19" s="159"/>
      <c r="DQ19" s="164"/>
      <c r="DR19" s="10"/>
      <c r="DS19" s="10"/>
      <c r="DT19" s="10"/>
      <c r="DU19" s="10"/>
      <c r="DW19" s="10"/>
      <c r="DX19" s="10"/>
      <c r="DY19" s="159"/>
      <c r="DZ19" s="164"/>
      <c r="EA19" s="10"/>
      <c r="EB19" s="10"/>
      <c r="EC19" s="10"/>
      <c r="ED19" s="10"/>
      <c r="EE19" s="159"/>
      <c r="EF19" s="164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59"/>
      <c r="ET19" s="164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59"/>
      <c r="FF19" s="164"/>
      <c r="FG19" s="159"/>
      <c r="FH19" s="164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59"/>
      <c r="FT19" s="164"/>
      <c r="FU19" s="10"/>
      <c r="FV19" s="7"/>
      <c r="FW19" s="10"/>
      <c r="FX19" s="7"/>
      <c r="FY19" s="10"/>
      <c r="FZ19" s="7"/>
      <c r="GA19" s="10"/>
      <c r="GB19" s="7"/>
      <c r="GC19" s="10"/>
      <c r="GD19" s="7"/>
      <c r="GF19" s="10"/>
      <c r="GG19" s="159"/>
      <c r="GH19" s="159"/>
      <c r="GI19" s="10"/>
      <c r="GJ19" s="10"/>
      <c r="GK19" s="159"/>
      <c r="GL19" s="159"/>
      <c r="GM19" s="10"/>
      <c r="GN19" s="159"/>
      <c r="GO19" s="10"/>
      <c r="GP19" s="10"/>
      <c r="GQ19" s="10"/>
      <c r="GR19" s="10"/>
      <c r="GS19" s="10"/>
      <c r="GT19" s="159"/>
      <c r="GU19" s="159"/>
      <c r="GV19" s="10"/>
      <c r="GW19" s="10"/>
      <c r="GX19" s="10"/>
      <c r="GY19" s="10"/>
      <c r="GZ19" s="10"/>
      <c r="HA19" s="10"/>
      <c r="HB19" s="10"/>
      <c r="HC19" s="10"/>
      <c r="HD19" s="10"/>
      <c r="HE19" s="10"/>
      <c r="HF19" s="10"/>
      <c r="HG19" s="10"/>
      <c r="HH19" s="10"/>
      <c r="HI19" s="10"/>
      <c r="HJ19" s="10"/>
      <c r="HK19" s="10"/>
      <c r="HL19" s="10"/>
      <c r="HM19" s="10"/>
      <c r="HN19" s="10"/>
      <c r="HO19" s="10"/>
      <c r="HP19" s="10"/>
      <c r="HQ19" s="10"/>
      <c r="HR19" s="10"/>
      <c r="HS19" s="10"/>
      <c r="HT19" s="10"/>
      <c r="HU19" s="10"/>
      <c r="HV19" s="10"/>
      <c r="HW19" s="10"/>
      <c r="HX19" s="10"/>
      <c r="HY19" s="10"/>
      <c r="HZ19" s="10"/>
      <c r="IA19" s="10"/>
      <c r="IB19" s="10"/>
    </row>
    <row r="20" spans="1:236" x14ac:dyDescent="0.3">
      <c r="A20" s="5">
        <v>16</v>
      </c>
      <c r="B20" s="4" t="s">
        <v>24</v>
      </c>
      <c r="C20" s="172"/>
      <c r="D20" s="173"/>
      <c r="E20" s="4"/>
      <c r="F20" s="10"/>
      <c r="G20" s="172"/>
      <c r="H20" s="173"/>
      <c r="I20" s="4"/>
      <c r="J20" s="10"/>
      <c r="K20" s="4"/>
      <c r="L20" s="10"/>
      <c r="M20" s="4"/>
      <c r="N20" s="10"/>
      <c r="O20" s="4"/>
      <c r="P20" s="10"/>
      <c r="Q20" s="4"/>
      <c r="R20" s="10"/>
      <c r="S20" s="4"/>
      <c r="T20" s="10"/>
      <c r="U20" s="172"/>
      <c r="V20" s="173"/>
      <c r="W20" s="4"/>
      <c r="X20" s="10"/>
      <c r="Y20" s="4"/>
      <c r="Z20" s="10"/>
      <c r="AA20" s="4"/>
      <c r="AB20" s="10"/>
      <c r="AC20" s="4"/>
      <c r="AD20" s="10"/>
      <c r="AE20" s="4"/>
      <c r="AF20" s="10"/>
      <c r="AG20" s="4"/>
      <c r="AH20" s="10"/>
      <c r="AI20" s="172"/>
      <c r="AJ20" s="173"/>
      <c r="AK20" s="4"/>
      <c r="AL20" s="10"/>
      <c r="AM20" s="7"/>
      <c r="AN20" s="10"/>
      <c r="AO20" s="172"/>
      <c r="AP20" s="173"/>
      <c r="AQ20" s="172"/>
      <c r="AR20" s="173"/>
      <c r="AS20" s="7"/>
      <c r="AU20" s="7"/>
      <c r="AW20" s="172"/>
      <c r="AX20" s="173"/>
      <c r="AY20" s="7"/>
      <c r="AZ20" s="10"/>
      <c r="BA20" s="7"/>
      <c r="BB20" s="10"/>
      <c r="BC20" s="7"/>
      <c r="BD20" s="10"/>
      <c r="BE20" s="7"/>
      <c r="BF20" s="10"/>
      <c r="BG20" s="7"/>
      <c r="BH20" s="10"/>
      <c r="BI20" s="7"/>
      <c r="BJ20" s="10"/>
      <c r="BK20" s="172"/>
      <c r="BL20" s="173"/>
      <c r="BN20" s="7"/>
      <c r="BO20" s="10"/>
      <c r="BP20" s="7"/>
      <c r="BQ20" s="10"/>
      <c r="BR20" s="7"/>
      <c r="BS20" s="10"/>
      <c r="BT20" s="7"/>
      <c r="BU20" s="10"/>
      <c r="BV20" s="7"/>
      <c r="BW20" s="10"/>
      <c r="BX20" s="7"/>
      <c r="BY20" s="10"/>
      <c r="BZ20" s="176"/>
      <c r="CA20" s="177"/>
      <c r="CB20" s="7"/>
      <c r="CC20" s="10"/>
      <c r="CD20" s="7"/>
      <c r="CE20" s="10"/>
      <c r="CF20" s="7"/>
      <c r="CG20" s="10"/>
      <c r="CH20" s="7"/>
      <c r="CI20" s="10"/>
      <c r="CJ20" s="7"/>
      <c r="CK20" s="10"/>
      <c r="CL20" s="176"/>
      <c r="CM20" s="177"/>
      <c r="CN20" s="176"/>
      <c r="CO20" s="177"/>
      <c r="CP20" s="7"/>
      <c r="CQ20" s="10"/>
      <c r="CR20" s="7"/>
      <c r="CS20" s="10"/>
      <c r="CT20" s="7"/>
      <c r="CU20" s="10"/>
      <c r="CV20" s="7"/>
      <c r="CW20" s="10"/>
      <c r="CX20" s="7"/>
      <c r="CY20" s="10"/>
      <c r="CZ20" s="7"/>
      <c r="DA20" s="10"/>
      <c r="DB20" s="159"/>
      <c r="DC20" s="164"/>
      <c r="DD20" s="7"/>
      <c r="DE20" s="10"/>
      <c r="DF20" s="7"/>
      <c r="DG20" s="10"/>
      <c r="DH20" s="159"/>
      <c r="DI20" s="164"/>
      <c r="DJ20" s="7"/>
      <c r="DK20" s="10"/>
      <c r="DL20" s="7"/>
      <c r="DM20" s="10"/>
      <c r="DN20" s="7"/>
      <c r="DO20" s="10"/>
      <c r="DP20" s="159"/>
      <c r="DQ20" s="164"/>
      <c r="DR20" s="7"/>
      <c r="DS20" s="10"/>
      <c r="DT20" s="7"/>
      <c r="DU20" s="10"/>
      <c r="DW20" s="7"/>
      <c r="DX20" s="10"/>
      <c r="DY20" s="159"/>
      <c r="DZ20" s="164"/>
      <c r="EA20" s="7"/>
      <c r="EB20" s="10"/>
      <c r="EC20" s="7"/>
      <c r="ED20" s="10"/>
      <c r="EE20" s="159"/>
      <c r="EF20" s="164"/>
      <c r="EG20" s="7"/>
      <c r="EH20" s="10"/>
      <c r="EI20" s="7"/>
      <c r="EJ20" s="10"/>
      <c r="EK20" s="7"/>
      <c r="EL20" s="10"/>
      <c r="EM20" s="7"/>
      <c r="EN20" s="10"/>
      <c r="EO20" s="7"/>
      <c r="EP20" s="10"/>
      <c r="EQ20" s="7"/>
      <c r="ER20" s="10"/>
      <c r="ES20" s="159"/>
      <c r="ET20" s="164"/>
      <c r="EU20" s="7"/>
      <c r="EV20" s="10"/>
      <c r="EW20" s="7"/>
      <c r="EX20" s="10"/>
      <c r="EY20" s="7"/>
      <c r="EZ20" s="10"/>
      <c r="FA20" s="7"/>
      <c r="FB20" s="10"/>
      <c r="FC20" s="7"/>
      <c r="FD20" s="10"/>
      <c r="FE20" s="159"/>
      <c r="FF20" s="164"/>
      <c r="FG20" s="159"/>
      <c r="FH20" s="164"/>
      <c r="FI20" s="7"/>
      <c r="FJ20" s="10"/>
      <c r="FK20" s="7"/>
      <c r="FL20" s="10"/>
      <c r="FM20" s="7"/>
      <c r="FN20" s="10"/>
      <c r="FO20" s="7"/>
      <c r="FP20" s="10"/>
      <c r="FQ20" s="7"/>
      <c r="FR20" s="7"/>
      <c r="FS20" s="159"/>
      <c r="FT20" s="164"/>
      <c r="FU20" s="7"/>
      <c r="FV20" s="7"/>
      <c r="FW20" s="7"/>
      <c r="FX20" s="7"/>
      <c r="FY20" s="7"/>
      <c r="FZ20" s="7"/>
      <c r="GA20" s="7"/>
      <c r="GB20" s="7"/>
      <c r="GC20" s="7"/>
      <c r="GD20" s="7"/>
      <c r="GF20" s="10"/>
      <c r="GG20" s="159"/>
      <c r="GH20" s="159"/>
      <c r="GI20" s="10"/>
      <c r="GJ20" s="10"/>
      <c r="GK20" s="159"/>
      <c r="GL20" s="159"/>
      <c r="GM20" s="10"/>
      <c r="GN20" s="159"/>
      <c r="GO20" s="10"/>
      <c r="GP20" s="10"/>
      <c r="GQ20" s="10"/>
      <c r="GR20" s="10"/>
      <c r="GS20" s="10"/>
      <c r="GT20" s="159"/>
      <c r="GU20" s="159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  <c r="HO20" s="10"/>
      <c r="HP20" s="10"/>
      <c r="HQ20" s="10"/>
      <c r="HR20" s="10"/>
      <c r="HS20" s="10"/>
      <c r="HT20" s="10"/>
      <c r="HU20" s="10"/>
      <c r="HV20" s="10"/>
      <c r="HW20" s="10"/>
      <c r="HX20" s="10"/>
      <c r="HY20" s="10"/>
      <c r="HZ20" s="10"/>
      <c r="IA20" s="10"/>
      <c r="IB20" s="10"/>
    </row>
    <row r="21" spans="1:236" x14ac:dyDescent="0.3">
      <c r="A21" s="5">
        <v>17</v>
      </c>
      <c r="B21" s="4" t="s">
        <v>25</v>
      </c>
      <c r="C21" s="172"/>
      <c r="D21" s="173"/>
      <c r="E21" s="4"/>
      <c r="F21" s="10"/>
      <c r="G21" s="172"/>
      <c r="H21" s="173"/>
      <c r="I21" s="4"/>
      <c r="J21" s="10"/>
      <c r="K21" s="4"/>
      <c r="L21" s="10"/>
      <c r="M21" s="4"/>
      <c r="N21" s="10"/>
      <c r="O21" s="4"/>
      <c r="P21" s="10"/>
      <c r="Q21" s="4"/>
      <c r="R21" s="10"/>
      <c r="S21" s="4"/>
      <c r="T21" s="10"/>
      <c r="U21" s="172"/>
      <c r="V21" s="173"/>
      <c r="W21" s="4"/>
      <c r="X21" s="10"/>
      <c r="Y21" s="4"/>
      <c r="Z21" s="10"/>
      <c r="AA21" s="4"/>
      <c r="AB21" s="10"/>
      <c r="AC21" s="4"/>
      <c r="AD21" s="10"/>
      <c r="AE21" s="4"/>
      <c r="AF21" s="10"/>
      <c r="AG21" s="4"/>
      <c r="AH21" s="10"/>
      <c r="AI21" s="172"/>
      <c r="AJ21" s="173"/>
      <c r="AK21" s="4"/>
      <c r="AL21" s="10"/>
      <c r="AM21" s="7"/>
      <c r="AN21" s="10"/>
      <c r="AO21" s="172"/>
      <c r="AP21" s="173"/>
      <c r="AQ21" s="172"/>
      <c r="AR21" s="173"/>
      <c r="AS21" s="7"/>
      <c r="AT21" s="10"/>
      <c r="AU21" s="7"/>
      <c r="AV21" s="10"/>
      <c r="AW21" s="172"/>
      <c r="AX21" s="173"/>
      <c r="AY21" s="7"/>
      <c r="AZ21" s="10"/>
      <c r="BA21" s="7"/>
      <c r="BB21" s="10"/>
      <c r="BC21" s="7"/>
      <c r="BD21" s="10"/>
      <c r="BE21" s="7"/>
      <c r="BF21" s="10"/>
      <c r="BG21" s="7"/>
      <c r="BH21" s="10"/>
      <c r="BI21" s="7"/>
      <c r="BJ21" s="10"/>
      <c r="BK21" s="172"/>
      <c r="BL21" s="173"/>
      <c r="BN21" s="7"/>
      <c r="BO21" s="10"/>
      <c r="BP21" s="7"/>
      <c r="BQ21" s="10"/>
      <c r="BR21" s="7"/>
      <c r="BS21" s="10"/>
      <c r="BT21" s="7"/>
      <c r="BU21" s="10"/>
      <c r="BV21" s="7"/>
      <c r="BW21" s="10"/>
      <c r="BX21" s="7"/>
      <c r="BY21" s="10"/>
      <c r="BZ21" s="176"/>
      <c r="CA21" s="177"/>
      <c r="CB21" s="7"/>
      <c r="CC21" s="10"/>
      <c r="CD21" s="7"/>
      <c r="CE21" s="10"/>
      <c r="CF21" s="7"/>
      <c r="CG21" s="10"/>
      <c r="CH21" s="7"/>
      <c r="CI21" s="10"/>
      <c r="CJ21" s="7"/>
      <c r="CK21" s="10"/>
      <c r="CL21" s="176"/>
      <c r="CM21" s="177"/>
      <c r="CN21" s="176"/>
      <c r="CO21" s="177"/>
      <c r="CP21" s="7"/>
      <c r="CQ21" s="10"/>
      <c r="CR21" s="7"/>
      <c r="CS21" s="10"/>
      <c r="CT21" s="7"/>
      <c r="CU21" s="10"/>
      <c r="CV21" s="7"/>
      <c r="CW21" s="10"/>
      <c r="CX21" s="7"/>
      <c r="CY21" s="10"/>
      <c r="CZ21" s="7"/>
      <c r="DA21" s="10"/>
      <c r="DB21" s="159"/>
      <c r="DC21" s="164"/>
      <c r="DD21" s="7"/>
      <c r="DE21" s="10"/>
      <c r="DF21" s="7"/>
      <c r="DG21" s="10"/>
      <c r="DH21" s="159"/>
      <c r="DI21" s="164"/>
      <c r="DJ21" s="7"/>
      <c r="DK21" s="10"/>
      <c r="DL21" s="7"/>
      <c r="DM21" s="10"/>
      <c r="DN21" s="7"/>
      <c r="DO21" s="10"/>
      <c r="DP21" s="159"/>
      <c r="DQ21" s="164"/>
      <c r="DR21" s="7"/>
      <c r="DS21" s="10"/>
      <c r="DT21" s="7"/>
      <c r="DU21" s="10"/>
      <c r="DW21" s="7"/>
      <c r="DX21" s="10"/>
      <c r="DY21" s="159"/>
      <c r="DZ21" s="164"/>
      <c r="EA21" s="7"/>
      <c r="EB21" s="10"/>
      <c r="EC21" s="7"/>
      <c r="ED21" s="10"/>
      <c r="EE21" s="159"/>
      <c r="EF21" s="164"/>
      <c r="EG21" s="7"/>
      <c r="EH21" s="10"/>
      <c r="EI21" s="7"/>
      <c r="EJ21" s="10"/>
      <c r="EK21" s="7"/>
      <c r="EL21" s="10"/>
      <c r="EM21" s="7"/>
      <c r="EN21" s="10"/>
      <c r="EO21" s="7"/>
      <c r="EP21" s="10"/>
      <c r="EQ21" s="7"/>
      <c r="ER21" s="10"/>
      <c r="ES21" s="159"/>
      <c r="ET21" s="164"/>
      <c r="EU21" s="7"/>
      <c r="EV21" s="10"/>
      <c r="EW21" s="7"/>
      <c r="EX21" s="10"/>
      <c r="EY21" s="7"/>
      <c r="EZ21" s="10"/>
      <c r="FA21" s="7"/>
      <c r="FB21" s="10"/>
      <c r="FC21" s="7"/>
      <c r="FD21" s="10"/>
      <c r="FE21" s="159"/>
      <c r="FF21" s="164"/>
      <c r="FG21" s="159"/>
      <c r="FH21" s="164"/>
      <c r="FI21" s="7"/>
      <c r="FJ21" s="10"/>
      <c r="FK21" s="7"/>
      <c r="FL21" s="10"/>
      <c r="FM21" s="7"/>
      <c r="FN21" s="10"/>
      <c r="FO21" s="7"/>
      <c r="FP21" s="10"/>
      <c r="FQ21" s="7"/>
      <c r="FR21" s="7"/>
      <c r="FS21" s="159"/>
      <c r="FT21" s="164"/>
      <c r="FU21" s="16"/>
      <c r="FV21" s="7"/>
      <c r="FW21" s="16"/>
      <c r="FX21" s="7"/>
      <c r="FY21" s="16"/>
      <c r="FZ21" s="7"/>
      <c r="GA21" s="16"/>
      <c r="GB21" s="7"/>
      <c r="GC21" s="16"/>
      <c r="GD21" s="7"/>
      <c r="GF21" s="16"/>
      <c r="GG21" s="159"/>
      <c r="GH21" s="159"/>
      <c r="GI21" s="16"/>
      <c r="GJ21" s="16"/>
      <c r="GK21" s="159"/>
      <c r="GL21" s="159"/>
      <c r="GM21" s="16"/>
      <c r="GN21" s="159"/>
      <c r="GO21" s="16"/>
      <c r="GP21" s="16"/>
      <c r="GQ21" s="16"/>
      <c r="GR21" s="16"/>
      <c r="GS21" s="16"/>
      <c r="GT21" s="159"/>
      <c r="GU21" s="159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  <c r="HO21" s="10"/>
      <c r="HP21" s="10"/>
      <c r="HQ21" s="10"/>
      <c r="HR21" s="10"/>
      <c r="HS21" s="10"/>
      <c r="HT21" s="10"/>
      <c r="HU21" s="10"/>
      <c r="HV21" s="10"/>
      <c r="HW21" s="10"/>
      <c r="HX21" s="10"/>
      <c r="HY21" s="10"/>
      <c r="HZ21" s="10"/>
      <c r="IA21" s="10"/>
      <c r="IB21" s="10"/>
    </row>
    <row r="22" spans="1:236" ht="14.4" hidden="1" customHeight="1" x14ac:dyDescent="0.3">
      <c r="A22" s="5">
        <v>18</v>
      </c>
      <c r="B22" s="4" t="s">
        <v>26</v>
      </c>
      <c r="C22" s="172"/>
      <c r="D22" s="173"/>
      <c r="E22" s="4"/>
      <c r="F22" s="4"/>
      <c r="G22" s="172"/>
      <c r="H22" s="173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172"/>
      <c r="V22" s="173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7"/>
      <c r="AI22" s="172"/>
      <c r="AJ22" s="173"/>
      <c r="AK22" s="4"/>
      <c r="AL22" s="7"/>
      <c r="AM22" s="7"/>
      <c r="AN22" s="7"/>
      <c r="AO22" s="172"/>
      <c r="AP22" s="173"/>
      <c r="AQ22" s="172"/>
      <c r="AR22" s="173"/>
      <c r="AS22" s="7"/>
      <c r="AT22" s="7"/>
      <c r="AU22" s="7"/>
      <c r="AV22" s="7"/>
      <c r="AW22" s="172"/>
      <c r="AX22" s="173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172"/>
      <c r="BL22" s="173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176"/>
      <c r="CA22" s="17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176"/>
      <c r="CM22" s="177"/>
      <c r="CN22" s="176"/>
      <c r="CO22" s="17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159"/>
      <c r="DC22" s="164"/>
      <c r="DD22" s="7"/>
      <c r="DE22" s="7"/>
      <c r="DF22" s="7"/>
      <c r="DG22" s="7"/>
      <c r="DH22" s="159"/>
      <c r="DI22" s="164"/>
      <c r="DJ22" s="7"/>
      <c r="DK22" s="7"/>
      <c r="DL22" s="7"/>
      <c r="DM22" s="7"/>
      <c r="DN22" s="7"/>
      <c r="DO22" s="7"/>
      <c r="DP22" s="159"/>
      <c r="DQ22" s="164"/>
      <c r="DR22" s="7"/>
      <c r="DS22" s="7"/>
      <c r="DT22" s="7"/>
      <c r="DU22" s="7"/>
      <c r="DW22" s="7"/>
      <c r="DX22" s="7"/>
      <c r="DY22" s="159"/>
      <c r="DZ22" s="164"/>
      <c r="EA22" s="7"/>
      <c r="EB22" s="7"/>
      <c r="EC22" s="7"/>
      <c r="ED22" s="7"/>
      <c r="EE22" s="159"/>
      <c r="EF22" s="164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159"/>
      <c r="ET22" s="164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159"/>
      <c r="FF22" s="164"/>
      <c r="FG22" s="159"/>
      <c r="FH22" s="164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159"/>
      <c r="FT22" s="164"/>
      <c r="FU22" s="7"/>
      <c r="FV22" s="7"/>
      <c r="FW22" s="7"/>
      <c r="FX22" s="7"/>
      <c r="FY22" s="7"/>
      <c r="FZ22" s="7"/>
      <c r="GA22" s="7"/>
      <c r="GB22" s="7"/>
      <c r="GC22" s="7"/>
      <c r="GD22" s="7"/>
      <c r="GF22" s="7"/>
      <c r="GG22" s="159"/>
      <c r="GH22" s="159"/>
      <c r="GI22" s="7"/>
      <c r="GJ22" s="7"/>
      <c r="GK22" s="159"/>
      <c r="GL22" s="159"/>
      <c r="GM22" s="7"/>
      <c r="GN22" s="159"/>
      <c r="GO22" s="7"/>
      <c r="GP22" s="7"/>
      <c r="GQ22" s="7"/>
      <c r="GR22" s="7"/>
      <c r="GS22" s="7"/>
      <c r="GT22" s="159"/>
      <c r="GU22" s="159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</row>
    <row r="23" spans="1:236" ht="14.4" hidden="1" customHeight="1" x14ac:dyDescent="0.3">
      <c r="A23" s="5">
        <v>19</v>
      </c>
      <c r="B23" s="4" t="s">
        <v>27</v>
      </c>
      <c r="C23" s="172"/>
      <c r="D23" s="173"/>
      <c r="E23" s="4"/>
      <c r="F23" s="4"/>
      <c r="G23" s="172"/>
      <c r="H23" s="173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172"/>
      <c r="V23" s="173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7"/>
      <c r="AI23" s="172"/>
      <c r="AJ23" s="173"/>
      <c r="AK23" s="4"/>
      <c r="AL23" s="7"/>
      <c r="AM23" s="7"/>
      <c r="AN23" s="7"/>
      <c r="AO23" s="172"/>
      <c r="AP23" s="173"/>
      <c r="AQ23" s="172"/>
      <c r="AR23" s="173"/>
      <c r="AS23" s="7"/>
      <c r="AT23" s="7"/>
      <c r="AU23" s="7"/>
      <c r="AV23" s="7"/>
      <c r="AW23" s="172"/>
      <c r="AX23" s="173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172"/>
      <c r="BL23" s="173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176"/>
      <c r="CA23" s="17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176"/>
      <c r="CM23" s="177"/>
      <c r="CN23" s="176"/>
      <c r="CO23" s="17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159"/>
      <c r="DC23" s="164"/>
      <c r="DD23" s="7"/>
      <c r="DE23" s="7"/>
      <c r="DF23" s="7"/>
      <c r="DG23" s="7"/>
      <c r="DH23" s="159"/>
      <c r="DI23" s="164"/>
      <c r="DJ23" s="7"/>
      <c r="DK23" s="7"/>
      <c r="DL23" s="7"/>
      <c r="DM23" s="7"/>
      <c r="DN23" s="7"/>
      <c r="DO23" s="7"/>
      <c r="DP23" s="159"/>
      <c r="DQ23" s="164"/>
      <c r="DR23" s="7"/>
      <c r="DS23" s="7"/>
      <c r="DT23" s="7"/>
      <c r="DU23" s="7"/>
      <c r="DW23" s="7"/>
      <c r="DX23" s="7"/>
      <c r="DY23" s="159"/>
      <c r="DZ23" s="164"/>
      <c r="EA23" s="7"/>
      <c r="EB23" s="7"/>
      <c r="EC23" s="7"/>
      <c r="ED23" s="7"/>
      <c r="EE23" s="159"/>
      <c r="EF23" s="164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159"/>
      <c r="ET23" s="164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159"/>
      <c r="FF23" s="164"/>
      <c r="FG23" s="159"/>
      <c r="FH23" s="164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159"/>
      <c r="FT23" s="164"/>
      <c r="FU23" s="7"/>
      <c r="FV23" s="7"/>
      <c r="FW23" s="7"/>
      <c r="FX23" s="7"/>
      <c r="FY23" s="7"/>
      <c r="FZ23" s="7"/>
      <c r="GA23" s="7"/>
      <c r="GB23" s="7"/>
      <c r="GC23" s="7"/>
      <c r="GD23" s="7"/>
      <c r="GF23" s="7"/>
      <c r="GG23" s="159"/>
      <c r="GH23" s="159"/>
      <c r="GI23" s="7"/>
      <c r="GJ23" s="7"/>
      <c r="GK23" s="159"/>
      <c r="GL23" s="159"/>
      <c r="GM23" s="7"/>
      <c r="GN23" s="159"/>
      <c r="GO23" s="7"/>
      <c r="GP23" s="7"/>
      <c r="GQ23" s="7"/>
      <c r="GR23" s="7"/>
      <c r="GS23" s="7"/>
      <c r="GT23" s="159"/>
      <c r="GU23" s="159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</row>
    <row r="24" spans="1:236" ht="14.4" hidden="1" customHeight="1" x14ac:dyDescent="0.3">
      <c r="A24" s="5">
        <v>20</v>
      </c>
      <c r="B24" s="4" t="s">
        <v>28</v>
      </c>
      <c r="C24" s="172"/>
      <c r="D24" s="173"/>
      <c r="E24" s="4"/>
      <c r="F24" s="4"/>
      <c r="G24" s="172"/>
      <c r="H24" s="173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172"/>
      <c r="V24" s="173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7"/>
      <c r="AI24" s="172"/>
      <c r="AJ24" s="173"/>
      <c r="AK24" s="4"/>
      <c r="AL24" s="7"/>
      <c r="AM24" s="7"/>
      <c r="AN24" s="7"/>
      <c r="AO24" s="172"/>
      <c r="AP24" s="173"/>
      <c r="AQ24" s="172"/>
      <c r="AR24" s="173"/>
      <c r="AS24" s="7"/>
      <c r="AT24" s="7"/>
      <c r="AU24" s="7"/>
      <c r="AV24" s="7"/>
      <c r="AW24" s="172"/>
      <c r="AX24" s="173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172"/>
      <c r="BL24" s="173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176"/>
      <c r="CA24" s="17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176"/>
      <c r="CM24" s="177"/>
      <c r="CN24" s="176"/>
      <c r="CO24" s="17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159"/>
      <c r="DC24" s="164"/>
      <c r="DD24" s="7"/>
      <c r="DE24" s="7"/>
      <c r="DF24" s="7"/>
      <c r="DG24" s="7"/>
      <c r="DH24" s="159"/>
      <c r="DI24" s="164"/>
      <c r="DJ24" s="7"/>
      <c r="DK24" s="7"/>
      <c r="DL24" s="7"/>
      <c r="DM24" s="7"/>
      <c r="DN24" s="7"/>
      <c r="DO24" s="7"/>
      <c r="DP24" s="159"/>
      <c r="DQ24" s="164"/>
      <c r="DR24" s="7"/>
      <c r="DS24" s="7"/>
      <c r="DT24" s="7"/>
      <c r="DU24" s="7"/>
      <c r="DW24" s="7"/>
      <c r="DX24" s="7"/>
      <c r="DY24" s="159"/>
      <c r="DZ24" s="164"/>
      <c r="EA24" s="7"/>
      <c r="EB24" s="7"/>
      <c r="EC24" s="7"/>
      <c r="ED24" s="7"/>
      <c r="EE24" s="159"/>
      <c r="EF24" s="164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159"/>
      <c r="ET24" s="164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159"/>
      <c r="FF24" s="164"/>
      <c r="FG24" s="159"/>
      <c r="FH24" s="164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159"/>
      <c r="FT24" s="164"/>
      <c r="FU24" s="7"/>
      <c r="FV24" s="7"/>
      <c r="FW24" s="7"/>
      <c r="FX24" s="7"/>
      <c r="FY24" s="7"/>
      <c r="FZ24" s="7"/>
      <c r="GA24" s="7"/>
      <c r="GB24" s="7"/>
      <c r="GC24" s="7"/>
      <c r="GD24" s="7"/>
      <c r="GF24" s="7"/>
      <c r="GG24" s="159"/>
      <c r="GH24" s="159"/>
      <c r="GI24" s="7"/>
      <c r="GJ24" s="7"/>
      <c r="GK24" s="159"/>
      <c r="GL24" s="159"/>
      <c r="GM24" s="7"/>
      <c r="GN24" s="159"/>
      <c r="GO24" s="7"/>
      <c r="GP24" s="7"/>
      <c r="GQ24" s="7"/>
      <c r="GR24" s="7"/>
      <c r="GS24" s="7"/>
      <c r="GT24" s="159"/>
      <c r="GU24" s="159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</row>
    <row r="25" spans="1:236" x14ac:dyDescent="0.3">
      <c r="A25" s="5">
        <v>21</v>
      </c>
      <c r="B25" s="4" t="s">
        <v>29</v>
      </c>
      <c r="C25" s="172"/>
      <c r="D25" s="173"/>
      <c r="E25" s="4"/>
      <c r="F25" s="10"/>
      <c r="G25" s="172"/>
      <c r="H25" s="173"/>
      <c r="I25" s="4"/>
      <c r="J25" s="10"/>
      <c r="K25" s="4"/>
      <c r="L25" s="10"/>
      <c r="M25" s="4"/>
      <c r="N25" s="10"/>
      <c r="O25" s="4"/>
      <c r="P25" s="10"/>
      <c r="Q25" s="4"/>
      <c r="R25" s="10"/>
      <c r="S25" s="4"/>
      <c r="T25" s="10"/>
      <c r="U25" s="172"/>
      <c r="V25" s="173"/>
      <c r="W25" s="4"/>
      <c r="X25" s="10"/>
      <c r="Y25" s="4"/>
      <c r="Z25" s="10"/>
      <c r="AA25" s="4"/>
      <c r="AB25" s="10"/>
      <c r="AC25" s="4"/>
      <c r="AD25" s="10"/>
      <c r="AE25" s="4"/>
      <c r="AF25" s="10"/>
      <c r="AG25" s="4"/>
      <c r="AH25" s="10"/>
      <c r="AI25" s="172"/>
      <c r="AJ25" s="173"/>
      <c r="AK25" s="4"/>
      <c r="AL25" s="10"/>
      <c r="AM25" s="7"/>
      <c r="AN25" s="10"/>
      <c r="AO25" s="172"/>
      <c r="AP25" s="173"/>
      <c r="AQ25" s="172"/>
      <c r="AR25" s="173"/>
      <c r="AS25" s="7"/>
      <c r="AT25" s="10"/>
      <c r="AU25" s="7"/>
      <c r="AV25" s="10"/>
      <c r="AW25" s="172"/>
      <c r="AX25" s="173"/>
      <c r="AY25" s="7"/>
      <c r="AZ25" s="10"/>
      <c r="BA25" s="7"/>
      <c r="BB25" s="10"/>
      <c r="BC25" s="7"/>
      <c r="BD25" s="10"/>
      <c r="BE25" s="7"/>
      <c r="BF25" s="10"/>
      <c r="BG25" s="7"/>
      <c r="BH25" s="10"/>
      <c r="BI25" s="7"/>
      <c r="BJ25" s="10"/>
      <c r="BK25" s="172"/>
      <c r="BL25" s="173"/>
      <c r="BN25" s="7"/>
      <c r="BO25" s="10"/>
      <c r="BP25" s="7"/>
      <c r="BQ25" s="10"/>
      <c r="BR25" s="7"/>
      <c r="BS25" s="10"/>
      <c r="BT25" s="7"/>
      <c r="BU25" s="10"/>
      <c r="BV25" s="7"/>
      <c r="BW25" s="10"/>
      <c r="BX25" s="7"/>
      <c r="BY25" s="10"/>
      <c r="BZ25" s="176"/>
      <c r="CA25" s="177"/>
      <c r="CB25" s="7"/>
      <c r="CC25" s="10"/>
      <c r="CD25" s="7"/>
      <c r="CE25" s="10"/>
      <c r="CF25" s="7"/>
      <c r="CG25" s="10"/>
      <c r="CH25" s="7"/>
      <c r="CI25" s="10"/>
      <c r="CJ25" s="7"/>
      <c r="CK25" s="10"/>
      <c r="CL25" s="176"/>
      <c r="CM25" s="177"/>
      <c r="CN25" s="176"/>
      <c r="CO25" s="177"/>
      <c r="CP25" s="7"/>
      <c r="CQ25" s="10"/>
      <c r="CR25" s="7"/>
      <c r="CS25" s="10"/>
      <c r="CT25" s="7"/>
      <c r="CU25" s="10"/>
      <c r="CV25" s="7"/>
      <c r="CW25" s="10"/>
      <c r="CX25" s="7"/>
      <c r="CY25" s="10"/>
      <c r="CZ25" s="7"/>
      <c r="DA25" s="10"/>
      <c r="DB25" s="159"/>
      <c r="DC25" s="164"/>
      <c r="DD25" s="7"/>
      <c r="DE25" s="10"/>
      <c r="DF25" s="7"/>
      <c r="DG25" s="10"/>
      <c r="DH25" s="159"/>
      <c r="DI25" s="164"/>
      <c r="DJ25" s="7"/>
      <c r="DK25" s="10"/>
      <c r="DL25" s="7"/>
      <c r="DM25" s="10"/>
      <c r="DN25" s="7"/>
      <c r="DO25" s="10"/>
      <c r="DP25" s="159"/>
      <c r="DQ25" s="164"/>
      <c r="DR25" s="7"/>
      <c r="DS25" s="10"/>
      <c r="DT25" s="7"/>
      <c r="DU25" s="10"/>
      <c r="DW25" s="7"/>
      <c r="DX25" s="10"/>
      <c r="DY25" s="159"/>
      <c r="DZ25" s="164"/>
      <c r="EA25" s="7"/>
      <c r="EB25" s="10"/>
      <c r="EC25" s="7"/>
      <c r="ED25" s="10"/>
      <c r="EE25" s="159"/>
      <c r="EF25" s="164"/>
      <c r="EG25" s="7"/>
      <c r="EH25" s="10"/>
      <c r="EI25" s="7"/>
      <c r="EJ25" s="10"/>
      <c r="EK25" s="7"/>
      <c r="EL25" s="10"/>
      <c r="EM25" s="7"/>
      <c r="EN25" s="10"/>
      <c r="EO25" s="7"/>
      <c r="EP25" s="10"/>
      <c r="EQ25" s="7"/>
      <c r="ER25" s="10"/>
      <c r="ES25" s="159"/>
      <c r="ET25" s="164"/>
      <c r="EU25" s="7"/>
      <c r="EV25" s="10"/>
      <c r="EW25" s="7"/>
      <c r="EX25" s="10"/>
      <c r="EY25" s="7"/>
      <c r="EZ25" s="10"/>
      <c r="FA25" s="7"/>
      <c r="FB25" s="10"/>
      <c r="FC25" s="7"/>
      <c r="FD25" s="10"/>
      <c r="FE25" s="159"/>
      <c r="FF25" s="164"/>
      <c r="FG25" s="159"/>
      <c r="FH25" s="164"/>
      <c r="FI25" s="7"/>
      <c r="FJ25" s="10"/>
      <c r="FK25" s="7"/>
      <c r="FL25" s="10"/>
      <c r="FM25" s="7"/>
      <c r="FN25" s="10"/>
      <c r="FO25" s="7"/>
      <c r="FP25" s="10"/>
      <c r="FQ25" s="7"/>
      <c r="FR25" s="7"/>
      <c r="FS25" s="159"/>
      <c r="FT25" s="164"/>
      <c r="FU25" s="4"/>
      <c r="FV25" s="4"/>
      <c r="FW25" s="4"/>
      <c r="FX25" s="7"/>
      <c r="FY25" s="7"/>
      <c r="FZ25" s="7"/>
      <c r="GA25" s="7"/>
      <c r="GB25" s="7"/>
      <c r="GC25" s="7"/>
      <c r="GD25" s="7"/>
      <c r="GF25" s="10"/>
      <c r="GG25" s="159"/>
      <c r="GH25" s="159"/>
      <c r="GI25" s="10"/>
      <c r="GJ25" s="10"/>
      <c r="GK25" s="159"/>
      <c r="GL25" s="159"/>
      <c r="GM25" s="10"/>
      <c r="GN25" s="159"/>
      <c r="GO25" s="10"/>
      <c r="GP25" s="10"/>
      <c r="GQ25" s="10"/>
      <c r="GR25" s="10"/>
      <c r="GS25" s="10"/>
      <c r="GT25" s="159"/>
      <c r="GU25" s="159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  <c r="HR25" s="10"/>
      <c r="HS25" s="10"/>
      <c r="HT25" s="10"/>
      <c r="HU25" s="10"/>
      <c r="HV25" s="10"/>
      <c r="HW25" s="10"/>
      <c r="HX25" s="10"/>
      <c r="HY25" s="10"/>
      <c r="HZ25" s="10"/>
      <c r="IA25" s="10"/>
      <c r="IB25" s="10"/>
    </row>
    <row r="26" spans="1:236" ht="14.4" hidden="1" customHeight="1" x14ac:dyDescent="0.3">
      <c r="A26" s="5">
        <v>22</v>
      </c>
      <c r="B26" s="4" t="s">
        <v>30</v>
      </c>
      <c r="C26" s="172"/>
      <c r="D26" s="173"/>
      <c r="E26" s="4"/>
      <c r="F26" s="4"/>
      <c r="G26" s="172"/>
      <c r="H26" s="173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172"/>
      <c r="V26" s="173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7"/>
      <c r="AI26" s="172"/>
      <c r="AJ26" s="173"/>
      <c r="AK26" s="4"/>
      <c r="AL26" s="7"/>
      <c r="AM26" s="7"/>
      <c r="AN26" s="7"/>
      <c r="AO26" s="172"/>
      <c r="AP26" s="173"/>
      <c r="AQ26" s="172"/>
      <c r="AR26" s="173"/>
      <c r="AS26" s="7"/>
      <c r="AT26" s="7"/>
      <c r="AU26" s="7"/>
      <c r="AV26" s="7"/>
      <c r="AW26" s="172"/>
      <c r="AX26" s="173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172"/>
      <c r="BL26" s="173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176"/>
      <c r="CA26" s="17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176"/>
      <c r="CM26" s="177"/>
      <c r="CN26" s="176"/>
      <c r="CO26" s="17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159"/>
      <c r="DC26" s="164"/>
      <c r="DD26" s="7"/>
      <c r="DE26" s="7"/>
      <c r="DF26" s="7"/>
      <c r="DG26" s="7"/>
      <c r="DH26" s="159"/>
      <c r="DI26" s="164"/>
      <c r="DJ26" s="7"/>
      <c r="DK26" s="7"/>
      <c r="DL26" s="7"/>
      <c r="DM26" s="7"/>
      <c r="DN26" s="7"/>
      <c r="DO26" s="7"/>
      <c r="DP26" s="159"/>
      <c r="DQ26" s="164"/>
      <c r="DR26" s="7"/>
      <c r="DS26" s="7"/>
      <c r="DT26" s="7"/>
      <c r="DU26" s="7"/>
      <c r="DW26" s="7"/>
      <c r="DX26" s="7"/>
      <c r="DY26" s="159"/>
      <c r="DZ26" s="164"/>
      <c r="EA26" s="7"/>
      <c r="EB26" s="7"/>
      <c r="EC26" s="7"/>
      <c r="ED26" s="7"/>
      <c r="EE26" s="159"/>
      <c r="EF26" s="164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159"/>
      <c r="ET26" s="164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159"/>
      <c r="FF26" s="164"/>
      <c r="FG26" s="159"/>
      <c r="FH26" s="164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159"/>
      <c r="FT26" s="164"/>
      <c r="FU26" s="7"/>
      <c r="FV26" s="7"/>
      <c r="FW26" s="7"/>
      <c r="FX26" s="7"/>
      <c r="FY26" s="7"/>
      <c r="FZ26" s="7"/>
      <c r="GA26" s="7"/>
      <c r="GB26" s="7"/>
      <c r="GC26" s="7"/>
      <c r="GD26" s="7"/>
      <c r="GF26" s="10"/>
      <c r="GG26" s="159"/>
      <c r="GH26" s="159"/>
      <c r="GI26" s="10"/>
      <c r="GJ26" s="10"/>
      <c r="GK26" s="159"/>
      <c r="GL26" s="159"/>
      <c r="GM26" s="10"/>
      <c r="GN26" s="159"/>
      <c r="GO26" s="10"/>
      <c r="GP26" s="10"/>
      <c r="GQ26" s="10"/>
      <c r="GR26" s="10"/>
      <c r="GS26" s="10"/>
      <c r="GT26" s="159"/>
      <c r="GU26" s="159"/>
      <c r="GV26" s="10"/>
      <c r="GW26" s="10"/>
      <c r="GX26" s="10"/>
      <c r="GY26" s="10"/>
      <c r="GZ26" s="10"/>
      <c r="HA26" s="10"/>
      <c r="HB26" s="10"/>
      <c r="HC26" s="10"/>
      <c r="HD26" s="10"/>
      <c r="HE26" s="10"/>
      <c r="HF26" s="10"/>
      <c r="HG26" s="10"/>
      <c r="HH26" s="10"/>
      <c r="HI26" s="10"/>
      <c r="HJ26" s="10"/>
      <c r="HK26" s="10"/>
      <c r="HL26" s="10"/>
      <c r="HM26" s="10"/>
      <c r="HN26" s="10"/>
      <c r="HO26" s="10"/>
      <c r="HP26" s="10"/>
      <c r="HQ26" s="10"/>
      <c r="HR26" s="10"/>
      <c r="HS26" s="10"/>
      <c r="HT26" s="10"/>
      <c r="HU26" s="10"/>
      <c r="HV26" s="10"/>
      <c r="HW26" s="10"/>
      <c r="HX26" s="10"/>
      <c r="HY26" s="10"/>
      <c r="HZ26" s="10"/>
      <c r="IA26" s="10"/>
      <c r="IB26" s="10"/>
    </row>
    <row r="27" spans="1:236" ht="14.4" hidden="1" customHeight="1" x14ac:dyDescent="0.3">
      <c r="A27" s="5">
        <v>23</v>
      </c>
      <c r="B27" s="4" t="s">
        <v>31</v>
      </c>
      <c r="C27" s="172"/>
      <c r="D27" s="173"/>
      <c r="E27" s="4"/>
      <c r="F27" s="4"/>
      <c r="G27" s="172"/>
      <c r="H27" s="173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172"/>
      <c r="V27" s="173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7"/>
      <c r="AI27" s="172"/>
      <c r="AJ27" s="173"/>
      <c r="AK27" s="4"/>
      <c r="AL27" s="7"/>
      <c r="AM27" s="7"/>
      <c r="AN27" s="7"/>
      <c r="AO27" s="172"/>
      <c r="AP27" s="173"/>
      <c r="AQ27" s="172"/>
      <c r="AR27" s="173"/>
      <c r="AS27" s="7"/>
      <c r="AT27" s="7"/>
      <c r="AU27" s="7"/>
      <c r="AV27" s="7"/>
      <c r="AW27" s="172"/>
      <c r="AX27" s="173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172"/>
      <c r="BL27" s="173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176"/>
      <c r="CA27" s="17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176"/>
      <c r="CM27" s="177"/>
      <c r="CN27" s="176"/>
      <c r="CO27" s="17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159"/>
      <c r="DC27" s="164"/>
      <c r="DD27" s="7"/>
      <c r="DE27" s="7"/>
      <c r="DF27" s="7"/>
      <c r="DG27" s="7"/>
      <c r="DH27" s="159"/>
      <c r="DI27" s="164"/>
      <c r="DJ27" s="7"/>
      <c r="DK27" s="7"/>
      <c r="DL27" s="7"/>
      <c r="DM27" s="7"/>
      <c r="DN27" s="7"/>
      <c r="DO27" s="7"/>
      <c r="DP27" s="159"/>
      <c r="DQ27" s="164"/>
      <c r="DR27" s="7"/>
      <c r="DS27" s="7"/>
      <c r="DT27" s="7"/>
      <c r="DU27" s="7"/>
      <c r="DW27" s="7"/>
      <c r="DX27" s="7"/>
      <c r="DY27" s="159"/>
      <c r="DZ27" s="164"/>
      <c r="EA27" s="7"/>
      <c r="EB27" s="7"/>
      <c r="EC27" s="7"/>
      <c r="ED27" s="7"/>
      <c r="EE27" s="159"/>
      <c r="EF27" s="164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159"/>
      <c r="ET27" s="164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159"/>
      <c r="FF27" s="164"/>
      <c r="FG27" s="159"/>
      <c r="FH27" s="164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159"/>
      <c r="FT27" s="164"/>
      <c r="FU27" s="7"/>
      <c r="FV27" s="7"/>
      <c r="FW27" s="7"/>
      <c r="FX27" s="7"/>
      <c r="FY27" s="7"/>
      <c r="FZ27" s="7"/>
      <c r="GA27" s="7"/>
      <c r="GB27" s="7"/>
      <c r="GC27" s="7"/>
      <c r="GD27" s="7"/>
      <c r="GF27" s="10"/>
      <c r="GG27" s="159"/>
      <c r="GH27" s="159"/>
      <c r="GI27" s="10"/>
      <c r="GJ27" s="10"/>
      <c r="GK27" s="159"/>
      <c r="GL27" s="159"/>
      <c r="GM27" s="10"/>
      <c r="GN27" s="159"/>
      <c r="GO27" s="10"/>
      <c r="GP27" s="10"/>
      <c r="GQ27" s="10"/>
      <c r="GR27" s="10"/>
      <c r="GS27" s="10"/>
      <c r="GT27" s="159"/>
      <c r="GU27" s="159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  <c r="HO27" s="10"/>
      <c r="HP27" s="10"/>
      <c r="HQ27" s="10"/>
      <c r="HR27" s="10"/>
      <c r="HS27" s="10"/>
      <c r="HT27" s="10"/>
      <c r="HU27" s="10"/>
      <c r="HV27" s="10"/>
      <c r="HW27" s="10"/>
      <c r="HX27" s="10"/>
      <c r="HY27" s="10"/>
      <c r="HZ27" s="10"/>
      <c r="IA27" s="10"/>
      <c r="IB27" s="10"/>
    </row>
    <row r="28" spans="1:236" ht="14.4" hidden="1" customHeight="1" x14ac:dyDescent="0.3">
      <c r="A28" s="5">
        <v>24</v>
      </c>
      <c r="B28" s="4" t="s">
        <v>32</v>
      </c>
      <c r="C28" s="172"/>
      <c r="D28" s="173"/>
      <c r="E28" s="4"/>
      <c r="F28" s="4"/>
      <c r="G28" s="172"/>
      <c r="H28" s="173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172"/>
      <c r="V28" s="173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7"/>
      <c r="AI28" s="172"/>
      <c r="AJ28" s="173"/>
      <c r="AK28" s="4"/>
      <c r="AL28" s="7"/>
      <c r="AM28" s="7"/>
      <c r="AN28" s="7"/>
      <c r="AO28" s="172"/>
      <c r="AP28" s="173"/>
      <c r="AQ28" s="172"/>
      <c r="AR28" s="173"/>
      <c r="AS28" s="7"/>
      <c r="AT28" s="7"/>
      <c r="AU28" s="7"/>
      <c r="AV28" s="7"/>
      <c r="AW28" s="172"/>
      <c r="AX28" s="173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172"/>
      <c r="BL28" s="173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176"/>
      <c r="CA28" s="17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176"/>
      <c r="CM28" s="177"/>
      <c r="CN28" s="176"/>
      <c r="CO28" s="17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159"/>
      <c r="DC28" s="164"/>
      <c r="DD28" s="7"/>
      <c r="DE28" s="7"/>
      <c r="DF28" s="7"/>
      <c r="DG28" s="7"/>
      <c r="DH28" s="159"/>
      <c r="DI28" s="164"/>
      <c r="DJ28" s="7"/>
      <c r="DK28" s="7"/>
      <c r="DL28" s="7"/>
      <c r="DM28" s="7"/>
      <c r="DN28" s="7"/>
      <c r="DO28" s="7"/>
      <c r="DP28" s="159"/>
      <c r="DQ28" s="164"/>
      <c r="DR28" s="7"/>
      <c r="DS28" s="7"/>
      <c r="DT28" s="7"/>
      <c r="DU28" s="7"/>
      <c r="DW28" s="7"/>
      <c r="DX28" s="7"/>
      <c r="DY28" s="159"/>
      <c r="DZ28" s="164"/>
      <c r="EA28" s="7"/>
      <c r="EB28" s="7"/>
      <c r="EC28" s="7"/>
      <c r="ED28" s="7"/>
      <c r="EE28" s="159"/>
      <c r="EF28" s="164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159"/>
      <c r="ET28" s="164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159"/>
      <c r="FF28" s="164"/>
      <c r="FG28" s="159"/>
      <c r="FH28" s="164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159"/>
      <c r="FT28" s="164"/>
      <c r="FU28" s="7"/>
      <c r="FV28" s="7"/>
      <c r="FW28" s="7"/>
      <c r="FX28" s="7"/>
      <c r="FY28" s="7"/>
      <c r="FZ28" s="7"/>
      <c r="GA28" s="7"/>
      <c r="GB28" s="7"/>
      <c r="GC28" s="7"/>
      <c r="GD28" s="7"/>
      <c r="GF28" s="10"/>
      <c r="GG28" s="159"/>
      <c r="GH28" s="159"/>
      <c r="GI28" s="10"/>
      <c r="GJ28" s="10"/>
      <c r="GK28" s="159"/>
      <c r="GL28" s="159"/>
      <c r="GM28" s="10"/>
      <c r="GN28" s="159"/>
      <c r="GO28" s="10"/>
      <c r="GP28" s="10"/>
      <c r="GQ28" s="10"/>
      <c r="GR28" s="10"/>
      <c r="GS28" s="10"/>
      <c r="GT28" s="159"/>
      <c r="GU28" s="159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  <c r="HS28" s="10"/>
      <c r="HT28" s="10"/>
      <c r="HU28" s="10"/>
      <c r="HV28" s="10"/>
      <c r="HW28" s="10"/>
      <c r="HX28" s="10"/>
      <c r="HY28" s="10"/>
      <c r="HZ28" s="10"/>
      <c r="IA28" s="10"/>
      <c r="IB28" s="10"/>
    </row>
    <row r="29" spans="1:236" ht="14.4" hidden="1" customHeight="1" x14ac:dyDescent="0.3">
      <c r="A29" s="5">
        <v>25</v>
      </c>
      <c r="B29" s="4" t="s">
        <v>33</v>
      </c>
      <c r="C29" s="172"/>
      <c r="D29" s="173"/>
      <c r="E29" s="4"/>
      <c r="F29" s="4"/>
      <c r="G29" s="172"/>
      <c r="H29" s="173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172"/>
      <c r="V29" s="173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7"/>
      <c r="AI29" s="172"/>
      <c r="AJ29" s="173"/>
      <c r="AK29" s="4"/>
      <c r="AL29" s="7"/>
      <c r="AM29" s="7"/>
      <c r="AN29" s="7"/>
      <c r="AO29" s="172"/>
      <c r="AP29" s="173"/>
      <c r="AQ29" s="172"/>
      <c r="AR29" s="173"/>
      <c r="AS29" s="7"/>
      <c r="AT29" s="7"/>
      <c r="AU29" s="7"/>
      <c r="AV29" s="7"/>
      <c r="AW29" s="172"/>
      <c r="AX29" s="173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172"/>
      <c r="BL29" s="173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176"/>
      <c r="CA29" s="17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176"/>
      <c r="CM29" s="177"/>
      <c r="CN29" s="176"/>
      <c r="CO29" s="17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159"/>
      <c r="DC29" s="164"/>
      <c r="DD29" s="7"/>
      <c r="DE29" s="7"/>
      <c r="DF29" s="7"/>
      <c r="DG29" s="7"/>
      <c r="DH29" s="159"/>
      <c r="DI29" s="164"/>
      <c r="DJ29" s="7"/>
      <c r="DK29" s="7"/>
      <c r="DL29" s="7"/>
      <c r="DM29" s="7"/>
      <c r="DN29" s="7"/>
      <c r="DO29" s="7"/>
      <c r="DP29" s="159"/>
      <c r="DQ29" s="164"/>
      <c r="DR29" s="7"/>
      <c r="DS29" s="7"/>
      <c r="DT29" s="7"/>
      <c r="DU29" s="7"/>
      <c r="DW29" s="7"/>
      <c r="DX29" s="7"/>
      <c r="DY29" s="159"/>
      <c r="DZ29" s="164"/>
      <c r="EA29" s="7"/>
      <c r="EB29" s="7"/>
      <c r="EC29" s="7"/>
      <c r="ED29" s="7"/>
      <c r="EE29" s="159"/>
      <c r="EF29" s="164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159"/>
      <c r="ET29" s="164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159"/>
      <c r="FF29" s="164"/>
      <c r="FG29" s="159"/>
      <c r="FH29" s="164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159"/>
      <c r="FT29" s="164"/>
      <c r="FU29" s="7"/>
      <c r="FV29" s="7"/>
      <c r="FW29" s="7"/>
      <c r="FX29" s="7"/>
      <c r="FY29" s="7"/>
      <c r="FZ29" s="7"/>
      <c r="GA29" s="7"/>
      <c r="GB29" s="7"/>
      <c r="GC29" s="7"/>
      <c r="GD29" s="7"/>
      <c r="GF29" s="10"/>
      <c r="GG29" s="159"/>
      <c r="GH29" s="159"/>
      <c r="GI29" s="10"/>
      <c r="GJ29" s="10"/>
      <c r="GK29" s="159"/>
      <c r="GL29" s="159"/>
      <c r="GM29" s="10"/>
      <c r="GN29" s="159"/>
      <c r="GO29" s="10"/>
      <c r="GP29" s="10"/>
      <c r="GQ29" s="10"/>
      <c r="GR29" s="10"/>
      <c r="GS29" s="10"/>
      <c r="GT29" s="159"/>
      <c r="GU29" s="159"/>
      <c r="GV29" s="10"/>
      <c r="GW29" s="10"/>
      <c r="GX29" s="10"/>
      <c r="GY29" s="10"/>
      <c r="GZ29" s="10"/>
      <c r="HA29" s="10"/>
      <c r="HB29" s="10"/>
      <c r="HC29" s="10"/>
      <c r="HD29" s="10"/>
      <c r="HE29" s="10"/>
      <c r="HF29" s="10"/>
      <c r="HG29" s="10"/>
      <c r="HH29" s="10"/>
      <c r="HI29" s="10"/>
      <c r="HJ29" s="10"/>
      <c r="HK29" s="10"/>
      <c r="HL29" s="10"/>
      <c r="HM29" s="10"/>
      <c r="HN29" s="10"/>
      <c r="HO29" s="10"/>
      <c r="HP29" s="10"/>
      <c r="HQ29" s="10"/>
      <c r="HR29" s="10"/>
      <c r="HS29" s="10"/>
      <c r="HT29" s="10"/>
      <c r="HU29" s="10"/>
      <c r="HV29" s="10"/>
      <c r="HW29" s="10"/>
      <c r="HX29" s="10"/>
      <c r="HY29" s="10"/>
      <c r="HZ29" s="10"/>
      <c r="IA29" s="10"/>
      <c r="IB29" s="10"/>
    </row>
    <row r="30" spans="1:236" ht="14.4" hidden="1" customHeight="1" x14ac:dyDescent="0.3">
      <c r="A30" s="5">
        <v>26</v>
      </c>
      <c r="B30" s="4" t="s">
        <v>34</v>
      </c>
      <c r="C30" s="172"/>
      <c r="D30" s="173"/>
      <c r="E30" s="4"/>
      <c r="F30" s="4"/>
      <c r="G30" s="172"/>
      <c r="H30" s="173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172"/>
      <c r="V30" s="173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7"/>
      <c r="AI30" s="172"/>
      <c r="AJ30" s="173"/>
      <c r="AK30" s="4"/>
      <c r="AL30" s="7"/>
      <c r="AM30" s="7"/>
      <c r="AN30" s="7"/>
      <c r="AO30" s="172"/>
      <c r="AP30" s="173"/>
      <c r="AQ30" s="172"/>
      <c r="AR30" s="173"/>
      <c r="AS30" s="7"/>
      <c r="AT30" s="7"/>
      <c r="AU30" s="7"/>
      <c r="AV30" s="7"/>
      <c r="AW30" s="172"/>
      <c r="AX30" s="173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172"/>
      <c r="BL30" s="173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176"/>
      <c r="CA30" s="17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176"/>
      <c r="CM30" s="177"/>
      <c r="CN30" s="176"/>
      <c r="CO30" s="17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159"/>
      <c r="DC30" s="164"/>
      <c r="DD30" s="7"/>
      <c r="DE30" s="7"/>
      <c r="DF30" s="7"/>
      <c r="DG30" s="7"/>
      <c r="DH30" s="159"/>
      <c r="DI30" s="164"/>
      <c r="DJ30" s="7"/>
      <c r="DK30" s="7"/>
      <c r="DL30" s="7"/>
      <c r="DM30" s="7"/>
      <c r="DN30" s="7"/>
      <c r="DO30" s="7"/>
      <c r="DP30" s="159"/>
      <c r="DQ30" s="164"/>
      <c r="DR30" s="7"/>
      <c r="DS30" s="7"/>
      <c r="DT30" s="7"/>
      <c r="DU30" s="7"/>
      <c r="DW30" s="7"/>
      <c r="DX30" s="7"/>
      <c r="DY30" s="159"/>
      <c r="DZ30" s="164"/>
      <c r="EA30" s="7"/>
      <c r="EB30" s="7"/>
      <c r="EC30" s="7"/>
      <c r="ED30" s="7"/>
      <c r="EE30" s="159"/>
      <c r="EF30" s="164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159"/>
      <c r="ET30" s="164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159"/>
      <c r="FF30" s="164"/>
      <c r="FG30" s="159"/>
      <c r="FH30" s="164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159"/>
      <c r="FT30" s="164"/>
      <c r="FU30" s="7"/>
      <c r="FV30" s="7"/>
      <c r="FW30" s="7"/>
      <c r="FX30" s="7"/>
      <c r="FY30" s="7"/>
      <c r="FZ30" s="7"/>
      <c r="GA30" s="7"/>
      <c r="GB30" s="7"/>
      <c r="GC30" s="7"/>
      <c r="GD30" s="7"/>
      <c r="GF30" s="10"/>
      <c r="GG30" s="159"/>
      <c r="GH30" s="159"/>
      <c r="GI30" s="10"/>
      <c r="GJ30" s="10"/>
      <c r="GK30" s="159"/>
      <c r="GL30" s="159"/>
      <c r="GM30" s="10"/>
      <c r="GN30" s="159"/>
      <c r="GO30" s="10"/>
      <c r="GP30" s="10"/>
      <c r="GQ30" s="10"/>
      <c r="GR30" s="10"/>
      <c r="GS30" s="10"/>
      <c r="GT30" s="159"/>
      <c r="GU30" s="159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  <c r="HO30" s="10"/>
      <c r="HP30" s="10"/>
      <c r="HQ30" s="10"/>
      <c r="HR30" s="10"/>
      <c r="HS30" s="10"/>
      <c r="HT30" s="10"/>
      <c r="HU30" s="10"/>
      <c r="HV30" s="10"/>
      <c r="HW30" s="10"/>
      <c r="HX30" s="10"/>
      <c r="HY30" s="10"/>
      <c r="HZ30" s="10"/>
      <c r="IA30" s="10"/>
      <c r="IB30" s="10"/>
    </row>
    <row r="31" spans="1:236" x14ac:dyDescent="0.3">
      <c r="A31" s="5">
        <v>27</v>
      </c>
      <c r="B31" s="4" t="s">
        <v>35</v>
      </c>
      <c r="C31" s="172"/>
      <c r="D31" s="173"/>
      <c r="E31" s="4"/>
      <c r="F31" s="10"/>
      <c r="G31" s="172"/>
      <c r="H31" s="173"/>
      <c r="I31" s="4"/>
      <c r="J31" s="10"/>
      <c r="K31" s="4"/>
      <c r="L31" s="10"/>
      <c r="M31" s="4"/>
      <c r="N31" s="10"/>
      <c r="O31" s="4"/>
      <c r="P31" s="10"/>
      <c r="Q31" s="4"/>
      <c r="R31" s="10"/>
      <c r="S31" s="4"/>
      <c r="T31" s="10"/>
      <c r="U31" s="172"/>
      <c r="V31" s="173"/>
      <c r="W31" s="4"/>
      <c r="X31" s="10"/>
      <c r="Y31" s="4"/>
      <c r="Z31" s="10"/>
      <c r="AA31" s="4"/>
      <c r="AB31" s="10"/>
      <c r="AC31" s="4"/>
      <c r="AD31" s="10"/>
      <c r="AE31" s="4"/>
      <c r="AF31" s="10"/>
      <c r="AG31" s="4"/>
      <c r="AH31" s="10"/>
      <c r="AI31" s="172"/>
      <c r="AJ31" s="173"/>
      <c r="AK31" s="4"/>
      <c r="AL31" s="10"/>
      <c r="AM31" s="4"/>
      <c r="AN31" s="10"/>
      <c r="AO31" s="172"/>
      <c r="AP31" s="173"/>
      <c r="AQ31" s="172"/>
      <c r="AR31" s="173"/>
      <c r="AS31" s="4"/>
      <c r="AT31" s="10"/>
      <c r="AU31" s="4"/>
      <c r="AV31" s="10"/>
      <c r="AW31" s="172"/>
      <c r="AX31" s="173"/>
      <c r="AY31" s="4"/>
      <c r="AZ31" s="10"/>
      <c r="BA31" s="4"/>
      <c r="BB31" s="10"/>
      <c r="BC31" s="4"/>
      <c r="BD31" s="10"/>
      <c r="BE31" s="4"/>
      <c r="BF31" s="10"/>
      <c r="BG31" s="4"/>
      <c r="BH31" s="10"/>
      <c r="BI31" s="4"/>
      <c r="BJ31" s="10"/>
      <c r="BK31" s="172"/>
      <c r="BL31" s="173"/>
      <c r="BN31" s="4"/>
      <c r="BO31" s="10"/>
      <c r="BP31" s="4"/>
      <c r="BQ31" s="10"/>
      <c r="BR31" s="4"/>
      <c r="BS31" s="10"/>
      <c r="BT31" s="4"/>
      <c r="BU31" s="10"/>
      <c r="BV31" s="4"/>
      <c r="BW31" s="10"/>
      <c r="BX31" s="4"/>
      <c r="BY31" s="10"/>
      <c r="BZ31" s="176"/>
      <c r="CA31" s="177"/>
      <c r="CB31" s="4"/>
      <c r="CC31" s="10"/>
      <c r="CD31" s="4"/>
      <c r="CE31" s="10"/>
      <c r="CF31" s="4"/>
      <c r="CG31" s="10"/>
      <c r="CH31" s="4"/>
      <c r="CI31" s="10"/>
      <c r="CJ31" s="4"/>
      <c r="CK31" s="10"/>
      <c r="CL31" s="176"/>
      <c r="CM31" s="177"/>
      <c r="CN31" s="176"/>
      <c r="CO31" s="177"/>
      <c r="CP31" s="4"/>
      <c r="CQ31" s="10"/>
      <c r="CR31" s="4"/>
      <c r="CS31" s="10"/>
      <c r="CT31" s="4"/>
      <c r="CU31" s="10"/>
      <c r="CV31" s="4"/>
      <c r="CW31" s="10"/>
      <c r="CX31" s="4"/>
      <c r="CY31" s="10"/>
      <c r="CZ31" s="4"/>
      <c r="DA31" s="10"/>
      <c r="DB31" s="159"/>
      <c r="DC31" s="164"/>
      <c r="DD31" s="4"/>
      <c r="DE31" s="10"/>
      <c r="DF31" s="4"/>
      <c r="DG31" s="10"/>
      <c r="DH31" s="159"/>
      <c r="DI31" s="164"/>
      <c r="DJ31" s="4"/>
      <c r="DK31" s="10"/>
      <c r="DL31" s="4"/>
      <c r="DM31" s="10"/>
      <c r="DN31" s="4"/>
      <c r="DO31" s="10"/>
      <c r="DP31" s="159"/>
      <c r="DQ31" s="164"/>
      <c r="DR31" s="4"/>
      <c r="DS31" s="10"/>
      <c r="DT31" s="4"/>
      <c r="DU31" s="10"/>
      <c r="DW31" s="4"/>
      <c r="DX31" s="10"/>
      <c r="DY31" s="159"/>
      <c r="DZ31" s="164"/>
      <c r="EA31" s="4"/>
      <c r="EB31" s="10"/>
      <c r="EC31" s="4"/>
      <c r="ED31" s="10"/>
      <c r="EE31" s="159"/>
      <c r="EF31" s="164"/>
      <c r="EG31" s="4"/>
      <c r="EH31" s="10"/>
      <c r="EI31" s="4"/>
      <c r="EJ31" s="10"/>
      <c r="EK31" s="4"/>
      <c r="EL31" s="10"/>
      <c r="EM31" s="4"/>
      <c r="EN31" s="10"/>
      <c r="EO31" s="4"/>
      <c r="EP31" s="10"/>
      <c r="EQ31" s="4"/>
      <c r="ER31" s="10"/>
      <c r="ES31" s="159"/>
      <c r="ET31" s="164"/>
      <c r="EU31" s="4"/>
      <c r="EV31" s="10"/>
      <c r="EW31" s="4"/>
      <c r="EX31" s="10"/>
      <c r="EY31" s="4"/>
      <c r="EZ31" s="10"/>
      <c r="FA31" s="4"/>
      <c r="FB31" s="10"/>
      <c r="FC31" s="4"/>
      <c r="FD31" s="10"/>
      <c r="FE31" s="159"/>
      <c r="FF31" s="164"/>
      <c r="FG31" s="159"/>
      <c r="FH31" s="164"/>
      <c r="FI31" s="4"/>
      <c r="FJ31" s="10"/>
      <c r="FK31" s="4"/>
      <c r="FL31" s="10"/>
      <c r="FM31" s="4"/>
      <c r="FN31" s="10"/>
      <c r="FO31" s="4"/>
      <c r="FP31" s="10"/>
      <c r="FQ31" s="4"/>
      <c r="FR31" s="4"/>
      <c r="FS31" s="159"/>
      <c r="FT31" s="164"/>
      <c r="FU31" s="4"/>
      <c r="FV31" s="7"/>
      <c r="FW31" s="4"/>
      <c r="FX31" s="7"/>
      <c r="FY31" s="4"/>
      <c r="FZ31" s="7"/>
      <c r="GA31" s="4"/>
      <c r="GB31" s="7"/>
      <c r="GC31" s="4"/>
      <c r="GD31" s="7"/>
      <c r="GF31" s="10"/>
      <c r="GG31" s="159"/>
      <c r="GH31" s="159"/>
      <c r="GI31" s="10"/>
      <c r="GJ31" s="10"/>
      <c r="GK31" s="159"/>
      <c r="GL31" s="159"/>
      <c r="GM31" s="10"/>
      <c r="GN31" s="159"/>
      <c r="GO31" s="10"/>
      <c r="GP31" s="10"/>
      <c r="GQ31" s="10"/>
      <c r="GR31" s="10"/>
      <c r="GS31" s="10"/>
      <c r="GT31" s="159"/>
      <c r="GU31" s="159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  <c r="HR31" s="10"/>
      <c r="HS31" s="10"/>
      <c r="HT31" s="10"/>
      <c r="HU31" s="10"/>
      <c r="HV31" s="10"/>
      <c r="HW31" s="10"/>
      <c r="HX31" s="10"/>
      <c r="HY31" s="10"/>
      <c r="HZ31" s="10"/>
      <c r="IA31" s="10"/>
      <c r="IB31" s="10"/>
    </row>
    <row r="32" spans="1:236" x14ac:dyDescent="0.3">
      <c r="A32" s="5">
        <v>28</v>
      </c>
      <c r="B32" s="4" t="s">
        <v>92</v>
      </c>
      <c r="C32" s="172"/>
      <c r="D32" s="173"/>
      <c r="E32" s="4"/>
      <c r="F32" s="10"/>
      <c r="G32" s="172"/>
      <c r="H32" s="173"/>
      <c r="I32" s="4"/>
      <c r="J32" s="10"/>
      <c r="K32" s="4"/>
      <c r="L32" s="10"/>
      <c r="M32" s="4"/>
      <c r="N32" s="10"/>
      <c r="O32" s="4"/>
      <c r="P32" s="10"/>
      <c r="Q32" s="4"/>
      <c r="R32" s="10"/>
      <c r="S32" s="4"/>
      <c r="T32" s="10"/>
      <c r="U32" s="172"/>
      <c r="V32" s="173"/>
      <c r="W32" s="4"/>
      <c r="X32" s="10"/>
      <c r="Y32" s="4"/>
      <c r="Z32" s="10"/>
      <c r="AA32" s="4"/>
      <c r="AB32" s="10"/>
      <c r="AC32" s="4"/>
      <c r="AD32" s="10"/>
      <c r="AE32" s="4"/>
      <c r="AF32" s="10"/>
      <c r="AG32" s="4"/>
      <c r="AH32" s="10"/>
      <c r="AI32" s="172"/>
      <c r="AJ32" s="173"/>
      <c r="AK32" s="4"/>
      <c r="AL32" s="10"/>
      <c r="AM32" s="4"/>
      <c r="AN32" s="10"/>
      <c r="AO32" s="172"/>
      <c r="AP32" s="173"/>
      <c r="AQ32" s="172"/>
      <c r="AR32" s="173"/>
      <c r="AS32" s="4"/>
      <c r="AT32" s="10"/>
      <c r="AU32" s="4"/>
      <c r="AV32" s="10"/>
      <c r="AW32" s="172"/>
      <c r="AX32" s="173"/>
      <c r="AY32" s="4"/>
      <c r="AZ32" s="10"/>
      <c r="BA32" s="4"/>
      <c r="BB32" s="10"/>
      <c r="BC32" s="4"/>
      <c r="BD32" s="10"/>
      <c r="BE32" s="4"/>
      <c r="BF32" s="10"/>
      <c r="BG32" s="4"/>
      <c r="BH32" s="10"/>
      <c r="BI32" s="4"/>
      <c r="BJ32" s="10"/>
      <c r="BK32" s="172"/>
      <c r="BL32" s="173"/>
      <c r="BN32" s="4"/>
      <c r="BO32" s="10"/>
      <c r="BP32" s="4"/>
      <c r="BQ32" s="10"/>
      <c r="BR32" s="4"/>
      <c r="BS32" s="10"/>
      <c r="BT32" s="4"/>
      <c r="BU32" s="10"/>
      <c r="BV32" s="4"/>
      <c r="BW32" s="10"/>
      <c r="BX32" s="4"/>
      <c r="BY32" s="10"/>
      <c r="BZ32" s="176"/>
      <c r="CA32" s="177"/>
      <c r="CB32" s="4"/>
      <c r="CC32" s="10"/>
      <c r="CD32" s="4"/>
      <c r="CE32" s="10"/>
      <c r="CF32" s="4"/>
      <c r="CG32" s="10"/>
      <c r="CH32" s="4"/>
      <c r="CI32" s="10"/>
      <c r="CJ32" s="4"/>
      <c r="CK32" s="10"/>
      <c r="CL32" s="176"/>
      <c r="CM32" s="177"/>
      <c r="CN32" s="176"/>
      <c r="CO32" s="177"/>
      <c r="CP32" s="4"/>
      <c r="CQ32" s="10"/>
      <c r="CR32" s="4"/>
      <c r="CS32" s="10"/>
      <c r="CT32" s="4"/>
      <c r="CU32" s="10"/>
      <c r="CV32" s="4"/>
      <c r="CW32" s="10"/>
      <c r="CX32" s="4"/>
      <c r="CY32" s="10"/>
      <c r="CZ32" s="4"/>
      <c r="DA32" s="10"/>
      <c r="DB32" s="159"/>
      <c r="DC32" s="164"/>
      <c r="DD32" s="4"/>
      <c r="DE32" s="10"/>
      <c r="DF32" s="4"/>
      <c r="DG32" s="10"/>
      <c r="DH32" s="159"/>
      <c r="DI32" s="164"/>
      <c r="DJ32" s="4"/>
      <c r="DK32" s="10"/>
      <c r="DL32" s="4"/>
      <c r="DM32" s="10"/>
      <c r="DN32" s="4"/>
      <c r="DO32" s="10"/>
      <c r="DP32" s="159"/>
      <c r="DQ32" s="164"/>
      <c r="DR32" s="4"/>
      <c r="DS32" s="10"/>
      <c r="DT32" s="4"/>
      <c r="DU32" s="10"/>
      <c r="DW32" s="4"/>
      <c r="DX32" s="10"/>
      <c r="DY32" s="159"/>
      <c r="DZ32" s="164"/>
      <c r="EA32" s="4"/>
      <c r="EB32" s="10"/>
      <c r="EC32" s="4"/>
      <c r="ED32" s="10"/>
      <c r="EE32" s="159"/>
      <c r="EF32" s="164"/>
      <c r="EG32" s="4"/>
      <c r="EH32" s="10"/>
      <c r="EI32" s="4"/>
      <c r="EJ32" s="10"/>
      <c r="EK32" s="4"/>
      <c r="EL32" s="10"/>
      <c r="EM32" s="4"/>
      <c r="EN32" s="10"/>
      <c r="EO32" s="4"/>
      <c r="EP32" s="10"/>
      <c r="EQ32" s="4"/>
      <c r="ER32" s="10"/>
      <c r="ES32" s="159"/>
      <c r="ET32" s="164"/>
      <c r="EU32" s="4"/>
      <c r="EV32" s="10"/>
      <c r="EW32" s="4"/>
      <c r="EX32" s="10"/>
      <c r="EY32" s="4"/>
      <c r="EZ32" s="10"/>
      <c r="FA32" s="4"/>
      <c r="FB32" s="10"/>
      <c r="FC32" s="4"/>
      <c r="FD32" s="10"/>
      <c r="FE32" s="159"/>
      <c r="FF32" s="164"/>
      <c r="FG32" s="159"/>
      <c r="FH32" s="164"/>
      <c r="FI32" s="4"/>
      <c r="FJ32" s="10"/>
      <c r="FK32" s="4"/>
      <c r="FL32" s="10"/>
      <c r="FM32" s="4"/>
      <c r="FN32" s="10"/>
      <c r="FO32" s="4"/>
      <c r="FP32" s="10"/>
      <c r="FQ32" s="4"/>
      <c r="FR32" s="4"/>
      <c r="FS32" s="159"/>
      <c r="FT32" s="164"/>
      <c r="FU32" s="4"/>
      <c r="FV32" s="7"/>
      <c r="FW32" s="4"/>
      <c r="FX32" s="7"/>
      <c r="FY32" s="4"/>
      <c r="FZ32" s="7"/>
      <c r="GA32" s="4"/>
      <c r="GB32" s="7"/>
      <c r="GC32" s="4"/>
      <c r="GD32" s="7"/>
      <c r="GF32" s="7"/>
      <c r="GG32" s="159"/>
      <c r="GH32" s="159"/>
      <c r="GI32" s="7"/>
      <c r="GJ32" s="7"/>
      <c r="GK32" s="159"/>
      <c r="GL32" s="159"/>
      <c r="GM32" s="7"/>
      <c r="GN32" s="159"/>
      <c r="GO32" s="7"/>
      <c r="GP32" s="7"/>
      <c r="GQ32" s="7"/>
      <c r="GR32" s="7"/>
      <c r="GS32" s="7"/>
      <c r="GT32" s="159"/>
      <c r="GU32" s="159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</row>
    <row r="33" spans="1:236" x14ac:dyDescent="0.3">
      <c r="A33" s="5">
        <v>29</v>
      </c>
      <c r="B33" s="4" t="s">
        <v>36</v>
      </c>
      <c r="C33" s="172"/>
      <c r="D33" s="173"/>
      <c r="E33" s="10"/>
      <c r="F33" s="10"/>
      <c r="G33" s="172"/>
      <c r="H33" s="173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72"/>
      <c r="V33" s="173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72"/>
      <c r="AJ33" s="173"/>
      <c r="AK33" s="10"/>
      <c r="AL33" s="10"/>
      <c r="AM33" s="10"/>
      <c r="AN33" s="10"/>
      <c r="AO33" s="172"/>
      <c r="AP33" s="173"/>
      <c r="AQ33" s="172"/>
      <c r="AR33" s="173"/>
      <c r="AS33" s="10"/>
      <c r="AT33" s="10"/>
      <c r="AU33" s="10"/>
      <c r="AV33" s="10"/>
      <c r="AW33" s="172"/>
      <c r="AX33" s="173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72"/>
      <c r="BL33" s="173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76"/>
      <c r="CA33" s="177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76"/>
      <c r="CM33" s="177"/>
      <c r="CN33" s="176"/>
      <c r="CO33" s="177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59"/>
      <c r="DC33" s="164"/>
      <c r="DD33" s="10"/>
      <c r="DE33" s="10"/>
      <c r="DF33" s="10"/>
      <c r="DG33" s="10"/>
      <c r="DH33" s="159"/>
      <c r="DI33" s="164"/>
      <c r="DJ33" s="10"/>
      <c r="DK33" s="52"/>
      <c r="DL33" s="10"/>
      <c r="DM33" s="52"/>
      <c r="DN33" s="10"/>
      <c r="DO33" s="52"/>
      <c r="DP33" s="159"/>
      <c r="DQ33" s="164"/>
      <c r="DR33" s="10"/>
      <c r="DS33" s="52"/>
      <c r="DT33" s="10"/>
      <c r="DU33" s="52"/>
      <c r="DW33" s="10"/>
      <c r="DX33" s="10"/>
      <c r="DY33" s="159"/>
      <c r="DZ33" s="164"/>
      <c r="EA33" s="10"/>
      <c r="EB33" s="10"/>
      <c r="EC33" s="10"/>
      <c r="ED33" s="10"/>
      <c r="EE33" s="159"/>
      <c r="EF33" s="164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59"/>
      <c r="ET33" s="164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59"/>
      <c r="FF33" s="164"/>
      <c r="FG33" s="159"/>
      <c r="FH33" s="164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59"/>
      <c r="FT33" s="164"/>
      <c r="FU33" s="10"/>
      <c r="FV33" s="7"/>
      <c r="FW33" s="10"/>
      <c r="FX33" s="7"/>
      <c r="FY33" s="10"/>
      <c r="FZ33" s="7"/>
      <c r="GA33" s="10"/>
      <c r="GB33" s="7"/>
      <c r="GC33" s="10"/>
      <c r="GD33" s="7"/>
      <c r="GF33" s="10"/>
      <c r="GG33" s="159"/>
      <c r="GH33" s="159"/>
      <c r="GI33" s="10"/>
      <c r="GJ33" s="10"/>
      <c r="GK33" s="159"/>
      <c r="GL33" s="159"/>
      <c r="GM33" s="10"/>
      <c r="GN33" s="159"/>
      <c r="GO33" s="10"/>
      <c r="GP33" s="10"/>
      <c r="GQ33" s="10"/>
      <c r="GR33" s="10"/>
      <c r="GS33" s="10"/>
      <c r="GT33" s="159"/>
      <c r="GU33" s="159"/>
      <c r="GV33" s="10"/>
      <c r="GW33" s="10"/>
      <c r="GX33" s="10"/>
      <c r="GY33" s="10"/>
      <c r="GZ33" s="10"/>
      <c r="HA33" s="10"/>
      <c r="HB33" s="10"/>
      <c r="HC33" s="10"/>
      <c r="HD33" s="10"/>
      <c r="HE33" s="10"/>
      <c r="HF33" s="10"/>
      <c r="HG33" s="10"/>
      <c r="HH33" s="10"/>
      <c r="HI33" s="10"/>
      <c r="HJ33" s="10"/>
      <c r="HK33" s="10"/>
      <c r="HL33" s="10"/>
      <c r="HM33" s="10"/>
      <c r="HN33" s="10"/>
      <c r="HO33" s="10"/>
      <c r="HP33" s="10"/>
      <c r="HQ33" s="10"/>
      <c r="HR33" s="10"/>
      <c r="HS33" s="10"/>
      <c r="HT33" s="10"/>
      <c r="HU33" s="10"/>
      <c r="HV33" s="10"/>
      <c r="HW33" s="10"/>
      <c r="HX33" s="10"/>
      <c r="HY33" s="10"/>
      <c r="HZ33" s="10"/>
      <c r="IA33" s="10"/>
      <c r="IB33" s="10"/>
    </row>
    <row r="34" spans="1:236" x14ac:dyDescent="0.3">
      <c r="A34" s="5">
        <v>30</v>
      </c>
      <c r="B34" s="4" t="s">
        <v>37</v>
      </c>
      <c r="C34" s="172"/>
      <c r="D34" s="173"/>
      <c r="E34" s="10"/>
      <c r="F34" s="10"/>
      <c r="G34" s="172"/>
      <c r="H34" s="173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72"/>
      <c r="V34" s="173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72"/>
      <c r="AJ34" s="173"/>
      <c r="AK34" s="10"/>
      <c r="AL34" s="10"/>
      <c r="AM34" s="10"/>
      <c r="AN34" s="10"/>
      <c r="AO34" s="172"/>
      <c r="AP34" s="173"/>
      <c r="AQ34" s="172"/>
      <c r="AR34" s="173"/>
      <c r="AS34" s="10"/>
      <c r="AT34" s="10"/>
      <c r="AU34" s="10"/>
      <c r="AV34" s="10"/>
      <c r="AW34" s="172"/>
      <c r="AX34" s="173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72"/>
      <c r="BL34" s="173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76"/>
      <c r="CA34" s="177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76"/>
      <c r="CM34" s="177"/>
      <c r="CN34" s="176"/>
      <c r="CO34" s="177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59"/>
      <c r="DC34" s="164"/>
      <c r="DD34" s="10"/>
      <c r="DE34" s="10"/>
      <c r="DF34" s="10"/>
      <c r="DG34" s="10"/>
      <c r="DH34" s="159"/>
      <c r="DI34" s="164"/>
      <c r="DJ34" s="10"/>
      <c r="DK34" s="10"/>
      <c r="DL34" s="10"/>
      <c r="DM34" s="10"/>
      <c r="DN34" s="10"/>
      <c r="DO34" s="10"/>
      <c r="DP34" s="159"/>
      <c r="DQ34" s="164"/>
      <c r="DR34" s="10"/>
      <c r="DS34" s="10"/>
      <c r="DT34" s="10"/>
      <c r="DU34" s="10"/>
      <c r="DW34" s="10"/>
      <c r="DX34" s="10"/>
      <c r="DY34" s="159"/>
      <c r="DZ34" s="164"/>
      <c r="EA34" s="10"/>
      <c r="EB34" s="10"/>
      <c r="EC34" s="10"/>
      <c r="ED34" s="10"/>
      <c r="EE34" s="159"/>
      <c r="EF34" s="164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59"/>
      <c r="ET34" s="164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59"/>
      <c r="FF34" s="164"/>
      <c r="FG34" s="159"/>
      <c r="FH34" s="164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59"/>
      <c r="FT34" s="164"/>
      <c r="FU34" s="10"/>
      <c r="FV34" s="7"/>
      <c r="FW34" s="10"/>
      <c r="FX34" s="7"/>
      <c r="FY34" s="10"/>
      <c r="FZ34" s="7"/>
      <c r="GA34" s="10"/>
      <c r="GB34" s="7"/>
      <c r="GC34" s="10"/>
      <c r="GD34" s="7"/>
      <c r="GF34" s="10"/>
      <c r="GG34" s="159"/>
      <c r="GH34" s="159"/>
      <c r="GI34" s="10"/>
      <c r="GJ34" s="10"/>
      <c r="GK34" s="159"/>
      <c r="GL34" s="159"/>
      <c r="GM34" s="10"/>
      <c r="GN34" s="159"/>
      <c r="GO34" s="10"/>
      <c r="GP34" s="10"/>
      <c r="GQ34" s="10"/>
      <c r="GR34" s="10"/>
      <c r="GS34" s="10"/>
      <c r="GT34" s="159"/>
      <c r="GU34" s="159"/>
      <c r="GV34" s="10"/>
      <c r="GW34" s="10"/>
      <c r="GX34" s="10"/>
      <c r="GY34" s="10"/>
      <c r="GZ34" s="10"/>
      <c r="HA34" s="10"/>
      <c r="HB34" s="10"/>
      <c r="HC34" s="10"/>
      <c r="HD34" s="10"/>
      <c r="HE34" s="10"/>
      <c r="HF34" s="10"/>
      <c r="HG34" s="10"/>
      <c r="HH34" s="10"/>
      <c r="HI34" s="10"/>
      <c r="HJ34" s="10"/>
      <c r="HK34" s="10"/>
      <c r="HL34" s="10"/>
      <c r="HM34" s="10"/>
      <c r="HN34" s="10"/>
      <c r="HO34" s="10"/>
      <c r="HP34" s="10"/>
      <c r="HQ34" s="10"/>
      <c r="HR34" s="10"/>
      <c r="HS34" s="10"/>
      <c r="HT34" s="10"/>
      <c r="HU34" s="10"/>
      <c r="HV34" s="10"/>
      <c r="HW34" s="10"/>
      <c r="HX34" s="10"/>
      <c r="HY34" s="10"/>
      <c r="HZ34" s="10"/>
      <c r="IA34" s="10"/>
      <c r="IB34" s="10"/>
    </row>
    <row r="35" spans="1:236" x14ac:dyDescent="0.3">
      <c r="A35" s="90">
        <v>31</v>
      </c>
      <c r="B35" s="4" t="s">
        <v>38</v>
      </c>
      <c r="C35" s="172"/>
      <c r="D35" s="173"/>
      <c r="E35" s="4"/>
      <c r="F35" s="4"/>
      <c r="G35" s="172"/>
      <c r="H35" s="173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172"/>
      <c r="V35" s="173"/>
      <c r="W35" s="4"/>
      <c r="X35" s="4"/>
      <c r="Y35" s="4"/>
      <c r="Z35" s="4"/>
      <c r="AA35" s="4"/>
      <c r="AB35" s="4"/>
      <c r="AC35" s="91"/>
      <c r="AD35" s="10"/>
      <c r="AE35" s="91"/>
      <c r="AF35" s="10"/>
      <c r="AG35" s="91"/>
      <c r="AH35" s="10"/>
      <c r="AI35" s="172"/>
      <c r="AJ35" s="173"/>
      <c r="AK35" s="10"/>
      <c r="AL35" s="10"/>
      <c r="AM35" s="10"/>
      <c r="AN35" s="10"/>
      <c r="AO35" s="172"/>
      <c r="AP35" s="173"/>
      <c r="AQ35" s="172"/>
      <c r="AR35" s="173"/>
      <c r="AS35" s="10"/>
      <c r="AT35" s="10"/>
      <c r="AU35" s="10"/>
      <c r="AV35" s="10"/>
      <c r="AW35" s="172"/>
      <c r="AX35" s="173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72"/>
      <c r="BL35" s="173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78"/>
      <c r="CA35" s="179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78"/>
      <c r="CM35" s="179"/>
      <c r="CN35" s="178"/>
      <c r="CO35" s="179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60"/>
      <c r="DC35" s="165"/>
      <c r="DD35" s="10"/>
      <c r="DE35" s="10"/>
      <c r="DF35" s="10"/>
      <c r="DG35" s="10"/>
      <c r="DH35" s="160"/>
      <c r="DI35" s="165"/>
      <c r="DJ35" s="10"/>
      <c r="DK35" s="10"/>
      <c r="DL35" s="10"/>
      <c r="DM35" s="10"/>
      <c r="DN35" s="10"/>
      <c r="DO35" s="10"/>
      <c r="DP35" s="160"/>
      <c r="DQ35" s="165"/>
      <c r="DR35" s="10"/>
      <c r="DS35" s="10"/>
      <c r="DT35" s="10"/>
      <c r="DU35" s="10"/>
      <c r="DW35" s="10"/>
      <c r="DX35" s="10"/>
      <c r="DY35" s="160"/>
      <c r="DZ35" s="165"/>
      <c r="EA35" s="10"/>
      <c r="EB35" s="10"/>
      <c r="EC35" s="10"/>
      <c r="ED35" s="10"/>
      <c r="EE35" s="160"/>
      <c r="EF35" s="165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60"/>
      <c r="ET35" s="165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60"/>
      <c r="FF35" s="165"/>
      <c r="FG35" s="160"/>
      <c r="FH35" s="165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60"/>
      <c r="FT35" s="165"/>
      <c r="FU35" s="10"/>
      <c r="FV35" s="7"/>
      <c r="FW35" s="10"/>
      <c r="FX35" s="7"/>
      <c r="FY35" s="10"/>
      <c r="FZ35" s="7"/>
      <c r="GA35" s="10"/>
      <c r="GB35" s="7"/>
      <c r="GC35" s="10"/>
      <c r="GD35" s="7"/>
      <c r="GF35" s="10"/>
      <c r="GG35" s="160"/>
      <c r="GH35" s="160"/>
      <c r="GI35" s="10"/>
      <c r="GJ35" s="10"/>
      <c r="GK35" s="160"/>
      <c r="GL35" s="160"/>
      <c r="GM35" s="10"/>
      <c r="GN35" s="160"/>
      <c r="GO35" s="10"/>
      <c r="GP35" s="10"/>
      <c r="GQ35" s="10"/>
      <c r="GR35" s="10"/>
      <c r="GS35" s="10"/>
      <c r="GT35" s="160"/>
      <c r="GU35" s="160"/>
      <c r="GV35" s="10"/>
      <c r="GW35" s="10"/>
      <c r="GX35" s="10"/>
      <c r="GY35" s="10"/>
      <c r="GZ35" s="10"/>
      <c r="HA35" s="10"/>
      <c r="HB35" s="10"/>
      <c r="HC35" s="10"/>
      <c r="HD35" s="10"/>
      <c r="HE35" s="10"/>
      <c r="HF35" s="10"/>
      <c r="HG35" s="10"/>
      <c r="HH35" s="10"/>
      <c r="HI35" s="10"/>
      <c r="HJ35" s="10"/>
      <c r="HK35" s="10"/>
      <c r="HL35" s="10"/>
      <c r="HM35" s="10"/>
      <c r="HN35" s="10"/>
      <c r="HO35" s="10"/>
      <c r="HP35" s="10"/>
      <c r="HQ35" s="10"/>
      <c r="HR35" s="10"/>
      <c r="HS35" s="10"/>
      <c r="HT35" s="10"/>
      <c r="HU35" s="10"/>
      <c r="HV35" s="10"/>
      <c r="HW35" s="10"/>
      <c r="HX35" s="10"/>
      <c r="HY35" s="10"/>
      <c r="HZ35" s="10"/>
      <c r="IA35" s="10"/>
      <c r="IB35" s="10"/>
    </row>
    <row r="36" spans="1:236" x14ac:dyDescent="0.3">
      <c r="A36" s="90"/>
    </row>
  </sheetData>
  <mergeCells count="123">
    <mergeCell ref="GU5:GU35"/>
    <mergeCell ref="GT5:GT35"/>
    <mergeCell ref="DW2:GD2"/>
    <mergeCell ref="GF2:GO2"/>
    <mergeCell ref="CV3:CW3"/>
    <mergeCell ref="CX3:CY3"/>
    <mergeCell ref="DH5:DI35"/>
    <mergeCell ref="DB5:DC35"/>
    <mergeCell ref="EM3:EN3"/>
    <mergeCell ref="EO3:EP3"/>
    <mergeCell ref="EQ3:ER3"/>
    <mergeCell ref="ES3:ET3"/>
    <mergeCell ref="EU3:EV3"/>
    <mergeCell ref="EW3:EX3"/>
    <mergeCell ref="EY3:EZ3"/>
    <mergeCell ref="FY3:FZ3"/>
    <mergeCell ref="GA3:GB3"/>
    <mergeCell ref="FK3:FL3"/>
    <mergeCell ref="FM3:FN3"/>
    <mergeCell ref="FO3:FP3"/>
    <mergeCell ref="FA3:FB3"/>
    <mergeCell ref="FC3:FD3"/>
    <mergeCell ref="DW3:DX3"/>
    <mergeCell ref="DY3:DZ3"/>
    <mergeCell ref="BN2:DU2"/>
    <mergeCell ref="DT3:DU3"/>
    <mergeCell ref="DJ3:DK3"/>
    <mergeCell ref="DL3:DM3"/>
    <mergeCell ref="DN3:DO3"/>
    <mergeCell ref="DP3:DQ3"/>
    <mergeCell ref="DR3:DS3"/>
    <mergeCell ref="CZ3:DA3"/>
    <mergeCell ref="DB3:DC3"/>
    <mergeCell ref="DD3:DE3"/>
    <mergeCell ref="DF3:DG3"/>
    <mergeCell ref="DH3:DI3"/>
    <mergeCell ref="CD3:CE3"/>
    <mergeCell ref="CF3:CG3"/>
    <mergeCell ref="CH3:CI3"/>
    <mergeCell ref="CJ3:CK3"/>
    <mergeCell ref="CL3:CM3"/>
    <mergeCell ref="CN3:CO3"/>
    <mergeCell ref="CP3:CQ3"/>
    <mergeCell ref="CR3:CS3"/>
    <mergeCell ref="CT3:CU3"/>
    <mergeCell ref="DP5:DQ35"/>
    <mergeCell ref="CN5:CO35"/>
    <mergeCell ref="BK5:BL35"/>
    <mergeCell ref="BN3:BO3"/>
    <mergeCell ref="BP3:BQ3"/>
    <mergeCell ref="BR3:BS3"/>
    <mergeCell ref="BT3:BU3"/>
    <mergeCell ref="BV3:BW3"/>
    <mergeCell ref="BX3:BY3"/>
    <mergeCell ref="BZ3:CA3"/>
    <mergeCell ref="CB3:CC3"/>
    <mergeCell ref="BZ5:CA35"/>
    <mergeCell ref="CL5:CM35"/>
    <mergeCell ref="AG3:AH3"/>
    <mergeCell ref="AI3:AJ3"/>
    <mergeCell ref="AK3:AL3"/>
    <mergeCell ref="AS3:AT3"/>
    <mergeCell ref="BG3:BH3"/>
    <mergeCell ref="C5:D35"/>
    <mergeCell ref="G5:H35"/>
    <mergeCell ref="U5:V35"/>
    <mergeCell ref="W3:X3"/>
    <mergeCell ref="Y3:Z3"/>
    <mergeCell ref="U3:V3"/>
    <mergeCell ref="S3:T3"/>
    <mergeCell ref="AO5:AP35"/>
    <mergeCell ref="AQ5:AR35"/>
    <mergeCell ref="AI5:AJ35"/>
    <mergeCell ref="AU3:AV3"/>
    <mergeCell ref="AW5:AX35"/>
    <mergeCell ref="A2:A3"/>
    <mergeCell ref="B2:B3"/>
    <mergeCell ref="C3:D3"/>
    <mergeCell ref="E3:F3"/>
    <mergeCell ref="G3:H3"/>
    <mergeCell ref="C2:BL2"/>
    <mergeCell ref="AW3:AX3"/>
    <mergeCell ref="AY3:AZ3"/>
    <mergeCell ref="BA3:BB3"/>
    <mergeCell ref="BC3:BD3"/>
    <mergeCell ref="BE3:BF3"/>
    <mergeCell ref="AM3:AN3"/>
    <mergeCell ref="AQ3:AR3"/>
    <mergeCell ref="BK3:BL3"/>
    <mergeCell ref="AA3:AB3"/>
    <mergeCell ref="BI3:BJ3"/>
    <mergeCell ref="I3:J3"/>
    <mergeCell ref="K3:L3"/>
    <mergeCell ref="M3:N3"/>
    <mergeCell ref="O3:P3"/>
    <mergeCell ref="Q3:R3"/>
    <mergeCell ref="AC3:AD3"/>
    <mergeCell ref="AO3:AP3"/>
    <mergeCell ref="AE3:AF3"/>
    <mergeCell ref="GN5:GN35"/>
    <mergeCell ref="FE3:FF3"/>
    <mergeCell ref="GC3:GD3"/>
    <mergeCell ref="FG3:FH3"/>
    <mergeCell ref="FI3:FJ3"/>
    <mergeCell ref="EE5:EF35"/>
    <mergeCell ref="DY5:DZ35"/>
    <mergeCell ref="FS3:FT3"/>
    <mergeCell ref="FU3:FV3"/>
    <mergeCell ref="FW3:FX3"/>
    <mergeCell ref="ES5:ET35"/>
    <mergeCell ref="FE5:FF35"/>
    <mergeCell ref="FG5:FH35"/>
    <mergeCell ref="FS5:FT35"/>
    <mergeCell ref="GL5:GL35"/>
    <mergeCell ref="EE3:EF3"/>
    <mergeCell ref="EG3:EH3"/>
    <mergeCell ref="EI3:EJ3"/>
    <mergeCell ref="EK3:EL3"/>
    <mergeCell ref="GK5:GK35"/>
    <mergeCell ref="GG5:GG35"/>
    <mergeCell ref="GH5:GH35"/>
    <mergeCell ref="EA3:EB3"/>
    <mergeCell ref="EC3:ED3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92F7D-A43F-441E-9900-E769B7DFC3C4}">
  <dimension ref="A2:KS57"/>
  <sheetViews>
    <sheetView zoomScale="115" zoomScaleNormal="115" workbookViewId="0">
      <pane xSplit="3" topLeftCell="KD1" activePane="topRight" state="frozen"/>
      <selection pane="topRight" activeCell="KO40" sqref="KO40"/>
    </sheetView>
  </sheetViews>
  <sheetFormatPr defaultRowHeight="14.4" x14ac:dyDescent="0.3"/>
  <cols>
    <col min="1" max="1" width="5" bestFit="1" customWidth="1"/>
    <col min="2" max="2" width="21.88671875" bestFit="1" customWidth="1"/>
    <col min="3" max="3" width="12.33203125" bestFit="1" customWidth="1"/>
    <col min="4" max="4" width="9.88671875" bestFit="1" customWidth="1"/>
    <col min="5" max="5" width="13" bestFit="1" customWidth="1"/>
    <col min="6" max="6" width="9.88671875" bestFit="1" customWidth="1"/>
    <col min="7" max="9" width="13" bestFit="1" customWidth="1"/>
    <col min="10" max="11" width="7.33203125" bestFit="1" customWidth="1"/>
    <col min="12" max="12" width="13" bestFit="1" customWidth="1"/>
    <col min="13" max="14" width="7.33203125" bestFit="1" customWidth="1"/>
    <col min="15" max="15" width="13" bestFit="1" customWidth="1"/>
    <col min="16" max="17" width="7.33203125" bestFit="1" customWidth="1"/>
    <col min="18" max="18" width="13" bestFit="1" customWidth="1"/>
    <col min="19" max="20" width="7.33203125" bestFit="1" customWidth="1"/>
    <col min="21" max="21" width="9.88671875" bestFit="1" customWidth="1"/>
    <col min="22" max="22" width="13" bestFit="1" customWidth="1"/>
    <col min="23" max="24" width="7.33203125" bestFit="1" customWidth="1"/>
    <col min="25" max="25" width="13" bestFit="1" customWidth="1"/>
    <col min="26" max="27" width="7.33203125" bestFit="1" customWidth="1"/>
    <col min="28" max="28" width="13" bestFit="1" customWidth="1"/>
    <col min="29" max="30" width="9.88671875" customWidth="1"/>
    <col min="31" max="31" width="13" bestFit="1" customWidth="1"/>
    <col min="32" max="33" width="9.88671875" customWidth="1"/>
    <col min="34" max="34" width="13" bestFit="1" customWidth="1"/>
    <col min="35" max="36" width="9.88671875" customWidth="1"/>
    <col min="37" max="37" width="13" bestFit="1" customWidth="1"/>
    <col min="38" max="39" width="9.88671875" customWidth="1"/>
    <col min="40" max="40" width="13" bestFit="1" customWidth="1"/>
    <col min="41" max="42" width="9.88671875" customWidth="1"/>
    <col min="43" max="43" width="13" bestFit="1" customWidth="1"/>
    <col min="44" max="45" width="9.88671875" customWidth="1"/>
    <col min="46" max="46" width="13.33203125" customWidth="1"/>
    <col min="47" max="48" width="9.88671875" customWidth="1"/>
    <col min="49" max="49" width="13" bestFit="1" customWidth="1"/>
    <col min="50" max="53" width="9.88671875" customWidth="1"/>
    <col min="54" max="54" width="9.88671875" bestFit="1" customWidth="1"/>
    <col min="55" max="55" width="13.6640625" bestFit="1" customWidth="1"/>
    <col min="56" max="57" width="9.88671875" customWidth="1"/>
    <col min="58" max="58" width="13" bestFit="1" customWidth="1"/>
    <col min="59" max="61" width="11.88671875" customWidth="1"/>
    <col min="62" max="62" width="14" bestFit="1" customWidth="1"/>
    <col min="63" max="64" width="9.88671875" customWidth="1"/>
    <col min="65" max="65" width="16" customWidth="1"/>
    <col min="66" max="67" width="9.88671875" bestFit="1" customWidth="1"/>
    <col min="68" max="68" width="13" bestFit="1" customWidth="1"/>
    <col min="69" max="70" width="9.88671875" bestFit="1" customWidth="1"/>
    <col min="71" max="71" width="13" bestFit="1" customWidth="1"/>
    <col min="74" max="74" width="13" bestFit="1" customWidth="1"/>
    <col min="77" max="77" width="15.109375" customWidth="1"/>
    <col min="81" max="81" width="8.33203125" bestFit="1" customWidth="1"/>
    <col min="82" max="82" width="8" bestFit="1" customWidth="1"/>
    <col min="83" max="83" width="8.33203125" bestFit="1" customWidth="1"/>
    <col min="84" max="84" width="8" bestFit="1" customWidth="1"/>
    <col min="85" max="85" width="8.33203125" bestFit="1" customWidth="1"/>
    <col min="86" max="86" width="8" bestFit="1" customWidth="1"/>
    <col min="87" max="87" width="8.33203125" bestFit="1" customWidth="1"/>
    <col min="88" max="88" width="8" bestFit="1" customWidth="1"/>
    <col min="89" max="89" width="8.88671875" bestFit="1" customWidth="1"/>
    <col min="90" max="90" width="8" bestFit="1" customWidth="1"/>
    <col min="91" max="91" width="8.33203125" bestFit="1" customWidth="1"/>
    <col min="92" max="92" width="8" bestFit="1" customWidth="1"/>
    <col min="93" max="93" width="8.33203125" bestFit="1" customWidth="1"/>
    <col min="94" max="94" width="8" bestFit="1" customWidth="1"/>
    <col min="95" max="95" width="8.33203125" bestFit="1" customWidth="1"/>
    <col min="96" max="96" width="8" bestFit="1" customWidth="1"/>
    <col min="97" max="97" width="8.33203125" bestFit="1" customWidth="1"/>
    <col min="98" max="98" width="8" bestFit="1" customWidth="1"/>
    <col min="99" max="99" width="8.33203125" bestFit="1" customWidth="1"/>
    <col min="100" max="100" width="8" bestFit="1" customWidth="1"/>
    <col min="101" max="101" width="8.33203125" bestFit="1" customWidth="1"/>
    <col min="102" max="102" width="8" bestFit="1" customWidth="1"/>
    <col min="103" max="103" width="8.21875" bestFit="1" customWidth="1"/>
    <col min="104" max="104" width="8" bestFit="1" customWidth="1"/>
    <col min="105" max="105" width="8.21875" bestFit="1" customWidth="1"/>
    <col min="106" max="106" width="8" bestFit="1" customWidth="1"/>
    <col min="107" max="107" width="8.21875" bestFit="1" customWidth="1"/>
    <col min="108" max="108" width="8" bestFit="1" customWidth="1"/>
    <col min="109" max="109" width="8.21875" bestFit="1" customWidth="1"/>
    <col min="110" max="110" width="8" bestFit="1" customWidth="1"/>
    <col min="111" max="111" width="8.109375" bestFit="1" customWidth="1"/>
    <col min="112" max="112" width="7.88671875" bestFit="1" customWidth="1"/>
    <col min="113" max="113" width="8.109375" bestFit="1" customWidth="1"/>
    <col min="114" max="114" width="7.88671875" bestFit="1" customWidth="1"/>
    <col min="115" max="115" width="8.109375" bestFit="1" customWidth="1"/>
    <col min="116" max="116" width="7.88671875" bestFit="1" customWidth="1"/>
    <col min="117" max="117" width="8.109375" bestFit="1" customWidth="1"/>
    <col min="118" max="118" width="7.88671875" bestFit="1" customWidth="1"/>
    <col min="119" max="119" width="8.109375" style="125" bestFit="1" customWidth="1"/>
    <col min="120" max="120" width="7.88671875" style="125" bestFit="1" customWidth="1"/>
    <col min="121" max="121" width="8.109375" bestFit="1" customWidth="1"/>
    <col min="122" max="122" width="7.88671875" bestFit="1" customWidth="1"/>
    <col min="123" max="123" width="8.109375" bestFit="1" customWidth="1"/>
    <col min="124" max="124" width="7.88671875" bestFit="1" customWidth="1"/>
    <col min="125" max="125" width="8.109375" bestFit="1" customWidth="1"/>
    <col min="126" max="126" width="7.88671875" bestFit="1" customWidth="1"/>
    <col min="129" max="129" width="8.109375" bestFit="1" customWidth="1"/>
    <col min="130" max="130" width="7.88671875" bestFit="1" customWidth="1"/>
    <col min="133" max="133" width="8.109375" bestFit="1" customWidth="1"/>
    <col min="142" max="142" width="8.21875" bestFit="1" customWidth="1"/>
    <col min="143" max="143" width="8" bestFit="1" customWidth="1"/>
    <col min="144" max="144" width="8.21875" bestFit="1" customWidth="1"/>
    <col min="145" max="145" width="8" bestFit="1" customWidth="1"/>
    <col min="146" max="146" width="8.21875" bestFit="1" customWidth="1"/>
    <col min="147" max="147" width="8" bestFit="1" customWidth="1"/>
    <col min="148" max="148" width="8.21875" bestFit="1" customWidth="1"/>
    <col min="149" max="149" width="8" bestFit="1" customWidth="1"/>
    <col min="150" max="150" width="8.21875" bestFit="1" customWidth="1"/>
    <col min="151" max="151" width="8" bestFit="1" customWidth="1"/>
    <col min="152" max="152" width="8.21875" bestFit="1" customWidth="1"/>
    <col min="153" max="153" width="8" bestFit="1" customWidth="1"/>
    <col min="154" max="154" width="8.21875" bestFit="1" customWidth="1"/>
    <col min="155" max="155" width="8" bestFit="1" customWidth="1"/>
    <col min="156" max="156" width="8.21875" bestFit="1" customWidth="1"/>
    <col min="157" max="157" width="8" bestFit="1" customWidth="1"/>
    <col min="158" max="158" width="8.21875" bestFit="1" customWidth="1"/>
    <col min="159" max="159" width="8" bestFit="1" customWidth="1"/>
    <col min="160" max="160" width="8.21875" bestFit="1" customWidth="1"/>
    <col min="161" max="161" width="8" bestFit="1" customWidth="1"/>
    <col min="162" max="162" width="8.21875" bestFit="1" customWidth="1"/>
    <col min="163" max="163" width="8" bestFit="1" customWidth="1"/>
    <col min="164" max="164" width="8.21875" bestFit="1" customWidth="1"/>
    <col min="165" max="165" width="8" bestFit="1" customWidth="1"/>
    <col min="166" max="166" width="8.21875" bestFit="1" customWidth="1"/>
    <col min="167" max="167" width="8" bestFit="1" customWidth="1"/>
    <col min="168" max="168" width="8.21875" bestFit="1" customWidth="1"/>
    <col min="169" max="169" width="8" bestFit="1" customWidth="1"/>
    <col min="170" max="170" width="9" bestFit="1" customWidth="1"/>
    <col min="171" max="171" width="8" bestFit="1" customWidth="1"/>
    <col min="172" max="172" width="9" bestFit="1" customWidth="1"/>
    <col min="173" max="173" width="8" bestFit="1" customWidth="1"/>
    <col min="174" max="174" width="8.21875" bestFit="1" customWidth="1"/>
    <col min="175" max="175" width="8" bestFit="1" customWidth="1"/>
    <col min="176" max="176" width="8.21875" bestFit="1" customWidth="1"/>
    <col min="177" max="177" width="8" bestFit="1" customWidth="1"/>
    <col min="178" max="178" width="8.21875" bestFit="1" customWidth="1"/>
    <col min="179" max="179" width="8" bestFit="1" customWidth="1"/>
    <col min="180" max="180" width="8.21875" bestFit="1" customWidth="1"/>
    <col min="181" max="181" width="8" bestFit="1" customWidth="1"/>
    <col min="182" max="182" width="8.21875" bestFit="1" customWidth="1"/>
    <col min="183" max="183" width="8" bestFit="1" customWidth="1"/>
    <col min="184" max="184" width="8.21875" bestFit="1" customWidth="1"/>
    <col min="185" max="185" width="8" bestFit="1" customWidth="1"/>
    <col min="186" max="186" width="8.21875" bestFit="1" customWidth="1"/>
    <col min="187" max="187" width="8" bestFit="1" customWidth="1"/>
    <col min="190" max="190" width="8.21875" bestFit="1" customWidth="1"/>
    <col min="191" max="191" width="8" bestFit="1" customWidth="1"/>
    <col min="192" max="192" width="8.21875" bestFit="1" customWidth="1"/>
    <col min="193" max="193" width="8" bestFit="1" customWidth="1"/>
    <col min="194" max="194" width="8.21875" bestFit="1" customWidth="1"/>
    <col min="195" max="195" width="8" bestFit="1" customWidth="1"/>
    <col min="199" max="199" width="9.33203125" bestFit="1" customWidth="1"/>
    <col min="200" max="200" width="8.21875" bestFit="1" customWidth="1"/>
    <col min="201" max="201" width="8" bestFit="1" customWidth="1"/>
    <col min="282" max="282" width="8.21875" bestFit="1" customWidth="1"/>
    <col min="283" max="283" width="8" bestFit="1" customWidth="1"/>
  </cols>
  <sheetData>
    <row r="2" spans="1:305" ht="15" thickBot="1" x14ac:dyDescent="0.35">
      <c r="A2" s="209" t="s">
        <v>0</v>
      </c>
      <c r="B2" s="219" t="s">
        <v>1</v>
      </c>
      <c r="C2" s="1"/>
      <c r="D2" s="220" t="s">
        <v>39</v>
      </c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1"/>
      <c r="AM2" s="221"/>
      <c r="AN2" s="221"/>
      <c r="AO2" s="221"/>
      <c r="AP2" s="221"/>
      <c r="AQ2" s="221"/>
      <c r="AR2" s="221"/>
      <c r="AS2" s="221"/>
      <c r="AT2" s="221"/>
      <c r="AU2" s="221"/>
      <c r="AV2" s="221"/>
      <c r="AW2" s="221"/>
      <c r="AX2" s="221"/>
      <c r="AY2" s="221"/>
      <c r="AZ2" s="221"/>
      <c r="BA2" s="221"/>
      <c r="BB2" s="221"/>
      <c r="BC2" s="221"/>
      <c r="BD2" s="221"/>
      <c r="BE2" s="221"/>
      <c r="BF2" s="221"/>
      <c r="BG2" s="221"/>
      <c r="BH2" s="221"/>
      <c r="BI2" s="221"/>
      <c r="BJ2" s="221"/>
      <c r="BK2" s="221"/>
      <c r="BL2" s="221"/>
      <c r="BM2" s="221"/>
      <c r="BN2" s="221"/>
      <c r="BO2" s="221"/>
      <c r="BP2" s="221"/>
      <c r="BQ2" s="221"/>
      <c r="BR2" s="221"/>
      <c r="BS2" s="221"/>
      <c r="BT2" s="221"/>
      <c r="BU2" s="221"/>
      <c r="BV2" s="221"/>
      <c r="BW2" s="221"/>
      <c r="BX2" s="221"/>
      <c r="BY2" s="221"/>
      <c r="BZ2" s="221"/>
      <c r="CA2" s="221"/>
    </row>
    <row r="3" spans="1:305" ht="15" thickBot="1" x14ac:dyDescent="0.35">
      <c r="A3" s="210"/>
      <c r="B3" s="219"/>
      <c r="C3" s="1"/>
      <c r="D3" s="8">
        <v>46143</v>
      </c>
      <c r="E3" s="8">
        <v>46144</v>
      </c>
      <c r="F3" s="8">
        <v>46145</v>
      </c>
      <c r="G3" s="8">
        <v>46146</v>
      </c>
      <c r="H3" s="20">
        <v>46147</v>
      </c>
      <c r="I3" s="205">
        <v>46148</v>
      </c>
      <c r="J3" s="206"/>
      <c r="K3" s="207"/>
      <c r="L3" s="218">
        <v>46149</v>
      </c>
      <c r="M3" s="218"/>
      <c r="N3" s="218"/>
      <c r="O3" s="205">
        <v>46150</v>
      </c>
      <c r="P3" s="206"/>
      <c r="Q3" s="207"/>
      <c r="R3" s="206">
        <v>46151</v>
      </c>
      <c r="S3" s="206"/>
      <c r="T3" s="207"/>
      <c r="U3" s="75">
        <v>46152</v>
      </c>
      <c r="V3" s="205">
        <v>46153</v>
      </c>
      <c r="W3" s="206"/>
      <c r="X3" s="207"/>
      <c r="Y3" s="205">
        <v>46154</v>
      </c>
      <c r="Z3" s="206"/>
      <c r="AA3" s="207"/>
      <c r="AB3" s="205">
        <v>46155</v>
      </c>
      <c r="AC3" s="206"/>
      <c r="AD3" s="207"/>
      <c r="AE3" s="208">
        <v>46156</v>
      </c>
      <c r="AF3" s="194"/>
      <c r="AG3" s="162"/>
      <c r="AH3" s="161">
        <v>46157</v>
      </c>
      <c r="AI3" s="194"/>
      <c r="AJ3" s="162"/>
      <c r="AK3" s="161">
        <v>46158</v>
      </c>
      <c r="AL3" s="194"/>
      <c r="AM3" s="162"/>
      <c r="AN3" s="225">
        <v>46159</v>
      </c>
      <c r="AO3" s="225"/>
      <c r="AP3" s="225"/>
      <c r="AQ3" s="161">
        <v>46160</v>
      </c>
      <c r="AR3" s="194"/>
      <c r="AS3" s="162"/>
      <c r="AT3" s="161">
        <v>46161</v>
      </c>
      <c r="AU3" s="194"/>
      <c r="AV3" s="162"/>
      <c r="AW3" s="161">
        <v>46162</v>
      </c>
      <c r="AX3" s="194"/>
      <c r="AY3" s="162"/>
      <c r="AZ3" s="161">
        <v>46163</v>
      </c>
      <c r="BA3" s="194"/>
      <c r="BB3" s="162"/>
      <c r="BC3" s="161">
        <v>46164</v>
      </c>
      <c r="BD3" s="194"/>
      <c r="BE3" s="162"/>
      <c r="BF3" s="161">
        <v>46165</v>
      </c>
      <c r="BG3" s="194"/>
      <c r="BH3" s="162"/>
      <c r="BI3" s="8">
        <v>46166</v>
      </c>
      <c r="BJ3" s="161">
        <v>46167</v>
      </c>
      <c r="BK3" s="194"/>
      <c r="BL3" s="162"/>
      <c r="BM3" s="161">
        <v>46168</v>
      </c>
      <c r="BN3" s="194"/>
      <c r="BO3" s="162"/>
      <c r="BP3" s="161">
        <v>46169</v>
      </c>
      <c r="BQ3" s="194"/>
      <c r="BR3" s="162"/>
      <c r="BS3" s="161">
        <v>46170</v>
      </c>
      <c r="BT3" s="194"/>
      <c r="BU3" s="162"/>
      <c r="BV3" s="161">
        <v>46171</v>
      </c>
      <c r="BW3" s="194"/>
      <c r="BX3" s="162"/>
      <c r="BY3" s="161">
        <v>46172</v>
      </c>
      <c r="BZ3" s="194"/>
      <c r="CA3" s="162"/>
      <c r="CC3" s="161">
        <v>46174</v>
      </c>
      <c r="CD3" s="183"/>
      <c r="CE3" s="161">
        <v>46175</v>
      </c>
      <c r="CF3" s="194"/>
      <c r="CG3" s="161">
        <v>46176</v>
      </c>
      <c r="CH3" s="194"/>
      <c r="CI3" s="161">
        <v>46177</v>
      </c>
      <c r="CJ3" s="194"/>
      <c r="CK3" s="161">
        <v>46178</v>
      </c>
      <c r="CL3" s="194"/>
      <c r="CM3" s="161">
        <v>46179</v>
      </c>
      <c r="CN3" s="183"/>
      <c r="CO3" s="161">
        <v>46180</v>
      </c>
      <c r="CP3" s="194"/>
      <c r="CQ3" s="161">
        <v>46181</v>
      </c>
      <c r="CR3" s="194"/>
      <c r="CS3" s="161">
        <v>46182</v>
      </c>
      <c r="CT3" s="194"/>
      <c r="CU3" s="161">
        <v>46183</v>
      </c>
      <c r="CV3" s="194"/>
      <c r="CW3" s="161">
        <v>46184</v>
      </c>
      <c r="CX3" s="194"/>
      <c r="CY3" s="161">
        <v>46185</v>
      </c>
      <c r="CZ3" s="194"/>
      <c r="DA3" s="161">
        <v>46186</v>
      </c>
      <c r="DB3" s="194"/>
      <c r="DC3" s="161">
        <v>46187</v>
      </c>
      <c r="DD3" s="194"/>
      <c r="DE3" s="161">
        <v>46188</v>
      </c>
      <c r="DF3" s="194"/>
      <c r="DG3" s="161">
        <v>46189</v>
      </c>
      <c r="DH3" s="194"/>
      <c r="DI3" s="161">
        <v>46190</v>
      </c>
      <c r="DJ3" s="183"/>
      <c r="DK3" s="161">
        <v>46191</v>
      </c>
      <c r="DL3" s="194"/>
      <c r="DM3" s="161">
        <v>46192</v>
      </c>
      <c r="DN3" s="194"/>
      <c r="DO3" s="200">
        <v>46193</v>
      </c>
      <c r="DP3" s="201"/>
      <c r="DQ3" s="161">
        <v>46194</v>
      </c>
      <c r="DR3" s="194"/>
      <c r="DS3" s="161">
        <v>46195</v>
      </c>
      <c r="DT3" s="194"/>
      <c r="DU3" s="161">
        <v>46196</v>
      </c>
      <c r="DV3" s="194"/>
      <c r="DW3" s="161">
        <v>46197</v>
      </c>
      <c r="DX3" s="194"/>
      <c r="DY3" s="161">
        <v>46198</v>
      </c>
      <c r="DZ3" s="194"/>
      <c r="EA3" s="161">
        <v>46199</v>
      </c>
      <c r="EB3" s="194"/>
      <c r="EC3" s="161">
        <v>46200</v>
      </c>
      <c r="ED3" s="194"/>
      <c r="EE3" s="161">
        <v>46201</v>
      </c>
      <c r="EF3" s="194"/>
      <c r="EG3" s="161">
        <v>46202</v>
      </c>
      <c r="EH3" s="194"/>
      <c r="EI3" s="161">
        <v>46203</v>
      </c>
      <c r="EJ3" s="194"/>
      <c r="EL3" s="161">
        <v>46204</v>
      </c>
      <c r="EM3" s="183"/>
      <c r="EN3" s="161">
        <v>46205</v>
      </c>
      <c r="EO3" s="183"/>
      <c r="EP3" s="161">
        <v>46206</v>
      </c>
      <c r="EQ3" s="183"/>
      <c r="ER3" s="161">
        <v>46207</v>
      </c>
      <c r="ES3" s="183"/>
      <c r="ET3" s="161">
        <v>46208</v>
      </c>
      <c r="EU3" s="183"/>
      <c r="EV3" s="161">
        <v>46209</v>
      </c>
      <c r="EW3" s="183"/>
      <c r="EX3" s="161">
        <v>46210</v>
      </c>
      <c r="EY3" s="183"/>
      <c r="EZ3" s="161">
        <v>46211</v>
      </c>
      <c r="FA3" s="183"/>
      <c r="FB3" s="161">
        <v>46212</v>
      </c>
      <c r="FC3" s="183"/>
      <c r="FD3" s="161">
        <v>46213</v>
      </c>
      <c r="FE3" s="183"/>
      <c r="FF3" s="161">
        <v>46214</v>
      </c>
      <c r="FG3" s="183"/>
      <c r="FH3" s="161">
        <v>46215</v>
      </c>
      <c r="FI3" s="183"/>
      <c r="FJ3" s="161">
        <v>46216</v>
      </c>
      <c r="FK3" s="183"/>
      <c r="FL3" s="161">
        <v>46217</v>
      </c>
      <c r="FM3" s="183"/>
      <c r="FN3" s="161">
        <v>46218</v>
      </c>
      <c r="FO3" s="183"/>
      <c r="FP3" s="161">
        <v>46219</v>
      </c>
      <c r="FQ3" s="183"/>
      <c r="FR3" s="161">
        <v>46220</v>
      </c>
      <c r="FS3" s="183"/>
      <c r="FT3" s="161">
        <v>46221</v>
      </c>
      <c r="FU3" s="183"/>
      <c r="FV3" s="161">
        <v>46222</v>
      </c>
      <c r="FW3" s="183"/>
      <c r="FX3" s="161">
        <v>46223</v>
      </c>
      <c r="FY3" s="183"/>
      <c r="FZ3" s="161">
        <v>46224</v>
      </c>
      <c r="GA3" s="183"/>
      <c r="GB3" s="161">
        <v>46225</v>
      </c>
      <c r="GC3" s="183"/>
      <c r="GD3" s="161">
        <v>46226</v>
      </c>
      <c r="GE3" s="183"/>
      <c r="GF3" s="161">
        <v>46227</v>
      </c>
      <c r="GG3" s="183"/>
      <c r="GH3" s="161">
        <v>46228</v>
      </c>
      <c r="GI3" s="183"/>
      <c r="GJ3" s="161">
        <v>46229</v>
      </c>
      <c r="GK3" s="183"/>
      <c r="GL3" s="161">
        <v>46230</v>
      </c>
      <c r="GM3" s="183"/>
      <c r="GN3" s="161">
        <v>46231</v>
      </c>
      <c r="GO3" s="183"/>
      <c r="GP3" s="161">
        <v>46232</v>
      </c>
      <c r="GQ3" s="183"/>
      <c r="GR3" s="161">
        <v>46233</v>
      </c>
      <c r="GS3" s="183"/>
      <c r="GT3" s="161">
        <v>46234</v>
      </c>
      <c r="GU3" s="183"/>
      <c r="GW3" s="161">
        <v>46235</v>
      </c>
      <c r="GX3" s="183"/>
      <c r="GY3" s="161">
        <v>46236</v>
      </c>
      <c r="GZ3" s="183"/>
      <c r="HA3" s="161">
        <v>46237</v>
      </c>
      <c r="HB3" s="183"/>
      <c r="HC3" s="161">
        <v>46238</v>
      </c>
      <c r="HD3" s="183"/>
      <c r="HE3" s="161">
        <v>46239</v>
      </c>
      <c r="HF3" s="183"/>
      <c r="HG3" s="161">
        <v>46240</v>
      </c>
      <c r="HH3" s="183"/>
      <c r="HI3" s="161">
        <v>46241</v>
      </c>
      <c r="HJ3" s="183"/>
      <c r="HK3" s="161">
        <v>46242</v>
      </c>
      <c r="HL3" s="183"/>
      <c r="HM3" s="161">
        <v>46243</v>
      </c>
      <c r="HN3" s="183"/>
      <c r="HO3" s="161">
        <v>46244</v>
      </c>
      <c r="HP3" s="183"/>
      <c r="HQ3" s="161">
        <v>46245</v>
      </c>
      <c r="HR3" s="183"/>
      <c r="HS3" s="161">
        <v>46246</v>
      </c>
      <c r="HT3" s="183"/>
      <c r="HU3" s="161">
        <v>46247</v>
      </c>
      <c r="HV3" s="183"/>
      <c r="HW3" s="161">
        <v>46248</v>
      </c>
      <c r="HX3" s="183"/>
      <c r="HY3" s="161">
        <v>46249</v>
      </c>
      <c r="HZ3" s="183"/>
      <c r="IA3" s="161">
        <v>46250</v>
      </c>
      <c r="IB3" s="183"/>
      <c r="IC3" s="161">
        <v>46251</v>
      </c>
      <c r="ID3" s="183"/>
      <c r="IE3" s="161">
        <v>46252</v>
      </c>
      <c r="IF3" s="183"/>
      <c r="IG3" s="161">
        <v>46253</v>
      </c>
      <c r="IH3" s="183"/>
      <c r="II3" s="161">
        <v>46254</v>
      </c>
      <c r="IJ3" s="183"/>
      <c r="IK3" s="161">
        <v>46255</v>
      </c>
      <c r="IL3" s="183"/>
      <c r="IM3" s="161">
        <v>46256</v>
      </c>
      <c r="IN3" s="183"/>
      <c r="IO3" s="161">
        <v>46257</v>
      </c>
      <c r="IP3" s="183"/>
      <c r="IQ3" s="161">
        <v>46258</v>
      </c>
      <c r="IR3" s="183"/>
      <c r="IS3" s="161">
        <v>46259</v>
      </c>
      <c r="IT3" s="183"/>
      <c r="IU3" s="161">
        <v>46260</v>
      </c>
      <c r="IV3" s="183"/>
      <c r="IW3" s="161">
        <v>46261</v>
      </c>
      <c r="IX3" s="183"/>
      <c r="IY3" s="161">
        <v>46262</v>
      </c>
      <c r="IZ3" s="183"/>
      <c r="JA3" s="161">
        <v>46263</v>
      </c>
      <c r="JB3" s="183"/>
      <c r="JC3" s="161">
        <v>46264</v>
      </c>
      <c r="JD3" s="183"/>
      <c r="JE3" s="161">
        <v>46265</v>
      </c>
      <c r="JF3" s="183"/>
      <c r="JH3" s="161">
        <v>46266</v>
      </c>
      <c r="JI3" s="183"/>
      <c r="JJ3" s="161">
        <v>46267</v>
      </c>
      <c r="JK3" s="183"/>
      <c r="JL3" s="161">
        <v>46268</v>
      </c>
      <c r="JM3" s="183"/>
      <c r="JN3" s="161">
        <v>46269</v>
      </c>
      <c r="JO3" s="183"/>
      <c r="JP3" s="161">
        <v>46270</v>
      </c>
      <c r="JQ3" s="183"/>
      <c r="JR3" s="161">
        <v>46271</v>
      </c>
      <c r="JS3" s="183"/>
      <c r="JT3" s="161">
        <v>46272</v>
      </c>
      <c r="JU3" s="183"/>
      <c r="JV3" s="161">
        <v>46273</v>
      </c>
      <c r="JW3" s="183"/>
      <c r="JX3" s="161">
        <v>46274</v>
      </c>
      <c r="JY3" s="183"/>
      <c r="JZ3" s="161">
        <v>46275</v>
      </c>
      <c r="KA3" s="183"/>
      <c r="KB3" s="161">
        <v>46276</v>
      </c>
      <c r="KC3" s="183"/>
      <c r="KD3" s="161">
        <v>46277</v>
      </c>
      <c r="KE3" s="183"/>
      <c r="KF3" s="161">
        <v>46278</v>
      </c>
      <c r="KG3" s="183"/>
      <c r="KH3" s="161">
        <v>46279</v>
      </c>
      <c r="KI3" s="183"/>
      <c r="KJ3" s="161">
        <v>46280</v>
      </c>
      <c r="KK3" s="183"/>
      <c r="KL3" s="161">
        <v>46281</v>
      </c>
      <c r="KM3" s="183"/>
      <c r="KN3" s="161">
        <v>46282</v>
      </c>
      <c r="KO3" s="183"/>
      <c r="KP3" s="161">
        <v>46283</v>
      </c>
      <c r="KQ3" s="183"/>
      <c r="KR3" s="161">
        <v>46284</v>
      </c>
      <c r="KS3" s="183"/>
    </row>
    <row r="4" spans="1:305" ht="19.2" customHeight="1" x14ac:dyDescent="0.3">
      <c r="A4" s="211"/>
      <c r="B4" s="2" t="s">
        <v>40</v>
      </c>
      <c r="C4" s="2" t="s">
        <v>41</v>
      </c>
      <c r="D4" s="8"/>
      <c r="E4" s="19">
        <v>0.41666666666666669</v>
      </c>
      <c r="F4" s="8"/>
      <c r="G4" s="19">
        <v>0.66666666666666663</v>
      </c>
      <c r="H4" s="15" t="s">
        <v>42</v>
      </c>
      <c r="I4" s="58">
        <v>0.41666666666666669</v>
      </c>
      <c r="J4" s="8" t="s">
        <v>43</v>
      </c>
      <c r="K4" s="59" t="s">
        <v>44</v>
      </c>
      <c r="L4" s="73">
        <v>0.72916666666666663</v>
      </c>
      <c r="M4" s="70" t="s">
        <v>43</v>
      </c>
      <c r="N4" s="71" t="s">
        <v>44</v>
      </c>
      <c r="O4" s="58">
        <v>0.47916666666666669</v>
      </c>
      <c r="P4" s="8" t="s">
        <v>43</v>
      </c>
      <c r="Q4" s="59" t="s">
        <v>44</v>
      </c>
      <c r="R4" s="68">
        <v>0.45833333333333331</v>
      </c>
      <c r="S4" s="8" t="s">
        <v>43</v>
      </c>
      <c r="T4" s="59" t="s">
        <v>44</v>
      </c>
      <c r="U4" s="75"/>
      <c r="V4" s="76">
        <v>0.58333333333333337</v>
      </c>
      <c r="W4" s="8" t="s">
        <v>43</v>
      </c>
      <c r="X4" s="59" t="s">
        <v>44</v>
      </c>
      <c r="Y4" s="76">
        <v>0.41666666666666669</v>
      </c>
      <c r="Z4" s="8" t="s">
        <v>43</v>
      </c>
      <c r="AA4" s="59" t="s">
        <v>44</v>
      </c>
      <c r="AB4" s="76">
        <v>0.58333333333333337</v>
      </c>
      <c r="AC4" s="21" t="s">
        <v>43</v>
      </c>
      <c r="AD4" s="89" t="s">
        <v>44</v>
      </c>
      <c r="AE4" s="76">
        <v>0.45833333333333331</v>
      </c>
      <c r="AF4" s="21" t="s">
        <v>43</v>
      </c>
      <c r="AG4" s="89" t="s">
        <v>44</v>
      </c>
      <c r="AH4" s="76">
        <v>0.58333333333333337</v>
      </c>
      <c r="AI4" s="21" t="s">
        <v>43</v>
      </c>
      <c r="AJ4" s="89" t="s">
        <v>44</v>
      </c>
      <c r="AK4" s="76">
        <v>0.48958333333333331</v>
      </c>
      <c r="AL4" s="21" t="s">
        <v>43</v>
      </c>
      <c r="AM4" s="89" t="s">
        <v>44</v>
      </c>
      <c r="AN4" s="226"/>
      <c r="AO4" s="226"/>
      <c r="AP4" s="226"/>
      <c r="AQ4" s="76">
        <v>0.61458333333333337</v>
      </c>
      <c r="AR4" s="21" t="s">
        <v>43</v>
      </c>
      <c r="AS4" s="89" t="s">
        <v>44</v>
      </c>
      <c r="AT4" s="76">
        <v>0.41666666666666669</v>
      </c>
      <c r="AU4" s="21" t="s">
        <v>43</v>
      </c>
      <c r="AV4" s="89" t="s">
        <v>44</v>
      </c>
      <c r="AW4" s="76"/>
      <c r="AX4" s="21"/>
      <c r="AY4" s="89"/>
      <c r="AZ4" s="75"/>
      <c r="BA4" s="75"/>
      <c r="BB4" s="8"/>
      <c r="BC4" s="76">
        <v>0.625</v>
      </c>
      <c r="BD4" s="21" t="s">
        <v>43</v>
      </c>
      <c r="BE4" s="89" t="s">
        <v>44</v>
      </c>
      <c r="BF4" s="76">
        <v>0.66666666666666663</v>
      </c>
      <c r="BG4" s="21" t="s">
        <v>43</v>
      </c>
      <c r="BH4" s="89" t="s">
        <v>44</v>
      </c>
      <c r="BI4" s="75"/>
      <c r="BJ4" s="19">
        <v>0.58333333333333337</v>
      </c>
      <c r="BK4" s="21" t="s">
        <v>43</v>
      </c>
      <c r="BL4" s="89" t="s">
        <v>44</v>
      </c>
      <c r="BM4" s="19">
        <v>0.52083333333333337</v>
      </c>
      <c r="BN4" s="8" t="s">
        <v>43</v>
      </c>
      <c r="BO4" s="8" t="s">
        <v>44</v>
      </c>
      <c r="BP4" s="19">
        <v>0.41666666666666669</v>
      </c>
      <c r="BQ4" s="8" t="s">
        <v>43</v>
      </c>
      <c r="BR4" s="8" t="s">
        <v>44</v>
      </c>
      <c r="BS4" s="19">
        <v>0.49652777777777779</v>
      </c>
      <c r="BT4" s="8" t="s">
        <v>43</v>
      </c>
      <c r="BU4" s="8" t="s">
        <v>44</v>
      </c>
      <c r="BV4" s="19">
        <v>0.46875</v>
      </c>
      <c r="BW4" s="8" t="s">
        <v>43</v>
      </c>
      <c r="BX4" s="8" t="s">
        <v>44</v>
      </c>
      <c r="BY4" s="19">
        <v>0.42708333333333331</v>
      </c>
      <c r="BZ4" s="8" t="s">
        <v>43</v>
      </c>
      <c r="CA4" s="8" t="s">
        <v>44</v>
      </c>
      <c r="CC4" s="34" t="s">
        <v>45</v>
      </c>
      <c r="CD4" s="15" t="s">
        <v>46</v>
      </c>
      <c r="CE4" s="34" t="s">
        <v>45</v>
      </c>
      <c r="CF4" s="15" t="s">
        <v>46</v>
      </c>
      <c r="CG4" s="34" t="s">
        <v>45</v>
      </c>
      <c r="CH4" s="15" t="s">
        <v>46</v>
      </c>
      <c r="CI4" s="34" t="s">
        <v>45</v>
      </c>
      <c r="CJ4" s="15" t="s">
        <v>46</v>
      </c>
      <c r="CK4" s="34" t="s">
        <v>45</v>
      </c>
      <c r="CL4" s="15" t="s">
        <v>46</v>
      </c>
      <c r="CM4" s="34" t="s">
        <v>45</v>
      </c>
      <c r="CN4" s="15" t="s">
        <v>46</v>
      </c>
      <c r="CO4" s="34" t="s">
        <v>45</v>
      </c>
      <c r="CP4" s="15" t="s">
        <v>46</v>
      </c>
      <c r="CQ4" s="34" t="s">
        <v>45</v>
      </c>
      <c r="CR4" s="15" t="s">
        <v>46</v>
      </c>
      <c r="CS4" s="34" t="s">
        <v>45</v>
      </c>
      <c r="CT4" s="15" t="s">
        <v>46</v>
      </c>
      <c r="CU4" s="34" t="s">
        <v>45</v>
      </c>
      <c r="CV4" s="15" t="s">
        <v>46</v>
      </c>
      <c r="CW4" s="34" t="s">
        <v>45</v>
      </c>
      <c r="CX4" s="15" t="s">
        <v>46</v>
      </c>
      <c r="CY4" s="34" t="s">
        <v>45</v>
      </c>
      <c r="CZ4" s="15" t="s">
        <v>46</v>
      </c>
      <c r="DA4" s="34" t="s">
        <v>45</v>
      </c>
      <c r="DB4" s="15" t="s">
        <v>46</v>
      </c>
      <c r="DC4" s="34" t="s">
        <v>45</v>
      </c>
      <c r="DD4" s="15" t="s">
        <v>46</v>
      </c>
      <c r="DE4" s="34" t="s">
        <v>45</v>
      </c>
      <c r="DF4" s="15" t="s">
        <v>46</v>
      </c>
      <c r="DG4" s="34" t="s">
        <v>45</v>
      </c>
      <c r="DH4" s="15" t="s">
        <v>46</v>
      </c>
      <c r="DI4" s="34" t="s">
        <v>45</v>
      </c>
      <c r="DJ4" s="15" t="s">
        <v>46</v>
      </c>
      <c r="DK4" s="34" t="s">
        <v>45</v>
      </c>
      <c r="DL4" s="15" t="s">
        <v>46</v>
      </c>
      <c r="DM4" s="34" t="s">
        <v>45</v>
      </c>
      <c r="DN4" s="15" t="s">
        <v>46</v>
      </c>
      <c r="DO4" s="126" t="s">
        <v>45</v>
      </c>
      <c r="DP4" s="127" t="s">
        <v>46</v>
      </c>
      <c r="DQ4" s="126" t="s">
        <v>45</v>
      </c>
      <c r="DR4" s="127" t="s">
        <v>46</v>
      </c>
      <c r="DS4" s="126" t="s">
        <v>45</v>
      </c>
      <c r="DT4" s="127" t="s">
        <v>46</v>
      </c>
      <c r="DU4" s="126" t="s">
        <v>45</v>
      </c>
      <c r="DV4" s="127" t="s">
        <v>46</v>
      </c>
      <c r="DW4" s="19"/>
      <c r="DX4" s="8"/>
      <c r="DY4" s="126" t="s">
        <v>45</v>
      </c>
      <c r="DZ4" s="127" t="s">
        <v>46</v>
      </c>
      <c r="EA4" s="126" t="s">
        <v>45</v>
      </c>
      <c r="EB4" s="127" t="s">
        <v>46</v>
      </c>
      <c r="EC4" s="126" t="s">
        <v>45</v>
      </c>
      <c r="ED4" s="127" t="s">
        <v>46</v>
      </c>
      <c r="EE4" s="19"/>
      <c r="EF4" s="8"/>
      <c r="EG4" s="19"/>
      <c r="EH4" s="8"/>
      <c r="EI4" s="126" t="s">
        <v>45</v>
      </c>
      <c r="EJ4" s="127" t="s">
        <v>46</v>
      </c>
      <c r="EL4" s="34" t="s">
        <v>45</v>
      </c>
      <c r="EM4" s="15" t="s">
        <v>46</v>
      </c>
      <c r="EN4" s="34" t="s">
        <v>45</v>
      </c>
      <c r="EO4" s="15" t="s">
        <v>46</v>
      </c>
      <c r="EP4" s="34" t="s">
        <v>45</v>
      </c>
      <c r="EQ4" s="15" t="s">
        <v>46</v>
      </c>
      <c r="ER4" s="34" t="s">
        <v>45</v>
      </c>
      <c r="ES4" s="15" t="s">
        <v>46</v>
      </c>
      <c r="ET4" s="34" t="s">
        <v>45</v>
      </c>
      <c r="EU4" s="15" t="s">
        <v>46</v>
      </c>
      <c r="EV4" s="34" t="s">
        <v>45</v>
      </c>
      <c r="EW4" s="15" t="s">
        <v>46</v>
      </c>
      <c r="EX4" s="34" t="s">
        <v>45</v>
      </c>
      <c r="EY4" s="15" t="s">
        <v>46</v>
      </c>
      <c r="EZ4" s="34" t="s">
        <v>45</v>
      </c>
      <c r="FA4" s="15" t="s">
        <v>46</v>
      </c>
      <c r="FB4" s="34" t="s">
        <v>45</v>
      </c>
      <c r="FC4" s="15" t="s">
        <v>46</v>
      </c>
      <c r="FD4" s="34" t="s">
        <v>45</v>
      </c>
      <c r="FE4" s="15" t="s">
        <v>46</v>
      </c>
      <c r="FF4" s="34" t="s">
        <v>45</v>
      </c>
      <c r="FG4" s="15" t="s">
        <v>46</v>
      </c>
      <c r="FH4" s="34" t="s">
        <v>45</v>
      </c>
      <c r="FI4" s="15" t="s">
        <v>46</v>
      </c>
      <c r="FJ4" s="34" t="s">
        <v>45</v>
      </c>
      <c r="FK4" s="15" t="s">
        <v>46</v>
      </c>
      <c r="FL4" s="34" t="s">
        <v>45</v>
      </c>
      <c r="FM4" s="15" t="s">
        <v>46</v>
      </c>
      <c r="FN4" s="34" t="s">
        <v>45</v>
      </c>
      <c r="FO4" s="15" t="s">
        <v>46</v>
      </c>
      <c r="FP4" s="34" t="s">
        <v>45</v>
      </c>
      <c r="FQ4" s="15" t="s">
        <v>46</v>
      </c>
      <c r="FR4" s="34" t="s">
        <v>45</v>
      </c>
      <c r="FS4" s="15" t="s">
        <v>46</v>
      </c>
      <c r="FT4" s="34" t="s">
        <v>45</v>
      </c>
      <c r="FU4" s="15" t="s">
        <v>46</v>
      </c>
      <c r="FV4" s="34" t="s">
        <v>45</v>
      </c>
      <c r="FW4" s="15" t="s">
        <v>46</v>
      </c>
      <c r="FX4" s="126" t="s">
        <v>45</v>
      </c>
      <c r="FY4" s="127" t="s">
        <v>46</v>
      </c>
      <c r="FZ4" s="126" t="s">
        <v>45</v>
      </c>
      <c r="GA4" s="127" t="s">
        <v>46</v>
      </c>
      <c r="GB4" s="126" t="s">
        <v>45</v>
      </c>
      <c r="GC4" s="127" t="s">
        <v>46</v>
      </c>
      <c r="GD4" s="126" t="s">
        <v>45</v>
      </c>
      <c r="GE4" s="127" t="s">
        <v>46</v>
      </c>
      <c r="GF4" s="126" t="s">
        <v>45</v>
      </c>
      <c r="GG4" s="127" t="s">
        <v>46</v>
      </c>
      <c r="GH4" s="126" t="s">
        <v>45</v>
      </c>
      <c r="GI4" s="127" t="s">
        <v>46</v>
      </c>
      <c r="GJ4" s="126" t="s">
        <v>45</v>
      </c>
      <c r="GK4" s="127" t="s">
        <v>46</v>
      </c>
      <c r="GL4" s="126" t="s">
        <v>45</v>
      </c>
      <c r="GM4" s="127" t="s">
        <v>46</v>
      </c>
      <c r="GN4" s="126" t="s">
        <v>45</v>
      </c>
      <c r="GO4" s="127" t="s">
        <v>46</v>
      </c>
      <c r="GP4" s="126" t="s">
        <v>45</v>
      </c>
      <c r="GQ4" s="127" t="s">
        <v>46</v>
      </c>
      <c r="GR4" s="126" t="s">
        <v>45</v>
      </c>
      <c r="GS4" s="127" t="s">
        <v>46</v>
      </c>
      <c r="GT4" s="126" t="s">
        <v>45</v>
      </c>
      <c r="GU4" s="127" t="s">
        <v>46</v>
      </c>
      <c r="GW4" s="34" t="s">
        <v>45</v>
      </c>
      <c r="GX4" s="15" t="s">
        <v>46</v>
      </c>
      <c r="GY4" s="34" t="s">
        <v>45</v>
      </c>
      <c r="GZ4" s="15" t="s">
        <v>46</v>
      </c>
      <c r="HA4" s="34" t="s">
        <v>45</v>
      </c>
      <c r="HB4" s="15" t="s">
        <v>46</v>
      </c>
      <c r="HC4" s="34" t="s">
        <v>45</v>
      </c>
      <c r="HD4" s="15" t="s">
        <v>46</v>
      </c>
      <c r="HE4" s="34" t="s">
        <v>45</v>
      </c>
      <c r="HF4" s="15" t="s">
        <v>46</v>
      </c>
      <c r="HG4" s="34" t="s">
        <v>45</v>
      </c>
      <c r="HH4" s="15" t="s">
        <v>46</v>
      </c>
      <c r="HI4" s="34" t="s">
        <v>45</v>
      </c>
      <c r="HJ4" s="15" t="s">
        <v>46</v>
      </c>
      <c r="HK4" s="34" t="s">
        <v>45</v>
      </c>
      <c r="HL4" s="15" t="s">
        <v>46</v>
      </c>
      <c r="HM4" s="34" t="s">
        <v>45</v>
      </c>
      <c r="HN4" s="15" t="s">
        <v>46</v>
      </c>
      <c r="HO4" s="34" t="s">
        <v>45</v>
      </c>
      <c r="HP4" s="15" t="s">
        <v>46</v>
      </c>
      <c r="HQ4" s="34" t="s">
        <v>45</v>
      </c>
      <c r="HR4" s="15" t="s">
        <v>46</v>
      </c>
      <c r="HS4" s="34" t="s">
        <v>45</v>
      </c>
      <c r="HT4" s="15" t="s">
        <v>46</v>
      </c>
      <c r="HU4" s="34" t="s">
        <v>45</v>
      </c>
      <c r="HV4" s="15" t="s">
        <v>46</v>
      </c>
      <c r="HW4" s="34" t="s">
        <v>45</v>
      </c>
      <c r="HX4" s="15" t="s">
        <v>46</v>
      </c>
      <c r="HY4" s="34" t="s">
        <v>45</v>
      </c>
      <c r="HZ4" s="15" t="s">
        <v>46</v>
      </c>
      <c r="IA4" s="34" t="s">
        <v>45</v>
      </c>
      <c r="IB4" s="15" t="s">
        <v>46</v>
      </c>
      <c r="IC4" s="34" t="s">
        <v>45</v>
      </c>
      <c r="ID4" s="15" t="s">
        <v>46</v>
      </c>
      <c r="IE4" s="34" t="s">
        <v>45</v>
      </c>
      <c r="IF4" s="15" t="s">
        <v>46</v>
      </c>
      <c r="IG4" s="34" t="s">
        <v>45</v>
      </c>
      <c r="IH4" s="15" t="s">
        <v>46</v>
      </c>
      <c r="II4" s="126" t="s">
        <v>45</v>
      </c>
      <c r="IJ4" s="127" t="s">
        <v>46</v>
      </c>
      <c r="IK4" s="126" t="s">
        <v>45</v>
      </c>
      <c r="IL4" s="127" t="s">
        <v>46</v>
      </c>
      <c r="IM4" s="126" t="s">
        <v>45</v>
      </c>
      <c r="IN4" s="127" t="s">
        <v>46</v>
      </c>
      <c r="IO4" s="126" t="s">
        <v>45</v>
      </c>
      <c r="IP4" s="127" t="s">
        <v>46</v>
      </c>
      <c r="IQ4" s="126" t="s">
        <v>45</v>
      </c>
      <c r="IR4" s="127" t="s">
        <v>46</v>
      </c>
      <c r="IS4" s="126" t="s">
        <v>45</v>
      </c>
      <c r="IT4" s="127" t="s">
        <v>46</v>
      </c>
      <c r="IU4" s="126" t="s">
        <v>45</v>
      </c>
      <c r="IV4" s="127" t="s">
        <v>46</v>
      </c>
      <c r="IW4" s="126" t="s">
        <v>45</v>
      </c>
      <c r="IX4" s="127" t="s">
        <v>46</v>
      </c>
      <c r="IY4" s="126" t="s">
        <v>45</v>
      </c>
      <c r="IZ4" s="127" t="s">
        <v>46</v>
      </c>
      <c r="JA4" s="126" t="s">
        <v>45</v>
      </c>
      <c r="JB4" s="127" t="s">
        <v>46</v>
      </c>
      <c r="JC4" s="126" t="s">
        <v>45</v>
      </c>
      <c r="JD4" s="127" t="s">
        <v>46</v>
      </c>
      <c r="JE4" s="126" t="s">
        <v>45</v>
      </c>
      <c r="JF4" s="127" t="s">
        <v>46</v>
      </c>
      <c r="JH4" s="126" t="s">
        <v>45</v>
      </c>
      <c r="JI4" s="127" t="s">
        <v>46</v>
      </c>
      <c r="JJ4" s="126" t="s">
        <v>45</v>
      </c>
      <c r="JK4" s="127" t="s">
        <v>46</v>
      </c>
      <c r="JL4" s="126" t="s">
        <v>45</v>
      </c>
      <c r="JM4" s="127" t="s">
        <v>46</v>
      </c>
      <c r="JN4" s="126" t="s">
        <v>45</v>
      </c>
      <c r="JO4" s="127" t="s">
        <v>46</v>
      </c>
      <c r="JP4" s="126" t="s">
        <v>45</v>
      </c>
      <c r="JQ4" s="127" t="s">
        <v>46</v>
      </c>
      <c r="JR4" s="126" t="s">
        <v>45</v>
      </c>
      <c r="JS4" s="127" t="s">
        <v>46</v>
      </c>
      <c r="JT4" s="126" t="s">
        <v>45</v>
      </c>
      <c r="JU4" s="127" t="s">
        <v>46</v>
      </c>
      <c r="JV4" s="126" t="s">
        <v>45</v>
      </c>
      <c r="JW4" s="127" t="s">
        <v>46</v>
      </c>
      <c r="JX4" s="126" t="s">
        <v>45</v>
      </c>
      <c r="JY4" s="127" t="s">
        <v>46</v>
      </c>
      <c r="JZ4" s="126" t="s">
        <v>45</v>
      </c>
      <c r="KA4" s="127" t="s">
        <v>46</v>
      </c>
      <c r="KB4" s="126" t="s">
        <v>45</v>
      </c>
      <c r="KC4" s="127" t="s">
        <v>46</v>
      </c>
      <c r="KD4" s="126" t="s">
        <v>45</v>
      </c>
      <c r="KE4" s="127" t="s">
        <v>46</v>
      </c>
      <c r="KF4" s="126" t="s">
        <v>45</v>
      </c>
      <c r="KG4" s="127" t="s">
        <v>46</v>
      </c>
      <c r="KH4" s="126" t="s">
        <v>45</v>
      </c>
      <c r="KI4" s="127" t="s">
        <v>46</v>
      </c>
      <c r="KJ4" s="126" t="s">
        <v>45</v>
      </c>
      <c r="KK4" s="127" t="s">
        <v>46</v>
      </c>
      <c r="KL4" s="126" t="s">
        <v>45</v>
      </c>
      <c r="KM4" s="127" t="s">
        <v>46</v>
      </c>
    </row>
    <row r="5" spans="1:305" x14ac:dyDescent="0.3">
      <c r="A5" s="24">
        <v>1</v>
      </c>
      <c r="B5" s="26" t="s">
        <v>5</v>
      </c>
      <c r="C5" s="26" t="s">
        <v>47</v>
      </c>
      <c r="D5" s="212" t="s">
        <v>6</v>
      </c>
      <c r="E5" s="32">
        <f>1545005.14+16245.04</f>
        <v>1561250.18</v>
      </c>
      <c r="F5" s="215" t="s">
        <v>7</v>
      </c>
      <c r="G5" s="32">
        <f>1545069.14+16245.04</f>
        <v>1561314.18</v>
      </c>
      <c r="H5" s="36">
        <f>1545069.14+16245.04</f>
        <v>1561314.18</v>
      </c>
      <c r="I5" s="46">
        <f>1545069.14+19317.29</f>
        <v>1564386.43</v>
      </c>
      <c r="J5" s="97">
        <v>0.73680000000000001</v>
      </c>
      <c r="K5" s="98">
        <v>0.18859999999999999</v>
      </c>
      <c r="L5" s="39">
        <f>1545709.14+19317.29</f>
        <v>1565026.43</v>
      </c>
      <c r="M5" s="97">
        <v>0.73709999999999998</v>
      </c>
      <c r="N5" s="98">
        <v>2.69E-2</v>
      </c>
      <c r="O5" s="46">
        <f>1545709.14+87925.54</f>
        <v>1633634.68</v>
      </c>
      <c r="P5" s="97">
        <v>0.73709999999999998</v>
      </c>
      <c r="Q5" s="98">
        <v>0.1227</v>
      </c>
      <c r="R5" s="39">
        <f>1545709.14+87925.79</f>
        <v>1633634.93</v>
      </c>
      <c r="S5" s="97">
        <v>0.73709999999999998</v>
      </c>
      <c r="T5" s="98">
        <v>0.1227</v>
      </c>
      <c r="U5" s="202" t="s">
        <v>7</v>
      </c>
      <c r="V5" s="46"/>
      <c r="W5" s="32"/>
      <c r="X5" s="47"/>
      <c r="Y5" s="46"/>
      <c r="Z5" s="39"/>
      <c r="AA5" s="93"/>
      <c r="AB5" s="46"/>
      <c r="AC5" s="39"/>
      <c r="AD5" s="93"/>
      <c r="AE5" s="39"/>
      <c r="AF5" s="39"/>
      <c r="AG5" s="39"/>
      <c r="AH5" s="32"/>
      <c r="AI5" s="32"/>
      <c r="AJ5" s="32"/>
      <c r="AK5" s="32"/>
      <c r="AL5" s="32"/>
      <c r="AM5" s="32"/>
      <c r="AN5" s="184" t="s">
        <v>7</v>
      </c>
      <c r="AO5" s="222"/>
      <c r="AP5" s="185"/>
      <c r="AQ5" s="32"/>
      <c r="AR5" s="32"/>
      <c r="AS5" s="32"/>
      <c r="AT5" s="32"/>
      <c r="AU5" s="32"/>
      <c r="AV5" s="32"/>
      <c r="AW5" s="190" t="s">
        <v>9</v>
      </c>
      <c r="AX5" s="191"/>
      <c r="AY5" s="195"/>
      <c r="AZ5" s="190" t="s">
        <v>9</v>
      </c>
      <c r="BA5" s="191"/>
      <c r="BB5" s="195"/>
      <c r="BC5" s="32"/>
      <c r="BD5" s="32"/>
      <c r="BE5" s="32"/>
      <c r="BF5" s="32"/>
      <c r="BG5" s="32"/>
      <c r="BH5" s="32"/>
      <c r="BI5" s="227" t="s">
        <v>7</v>
      </c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C5" s="36"/>
      <c r="CD5" s="36"/>
      <c r="CE5" s="46"/>
      <c r="CF5" s="97"/>
      <c r="CG5" s="39"/>
      <c r="CH5" s="97"/>
      <c r="CI5" s="46"/>
      <c r="CJ5" s="97"/>
      <c r="CK5" s="53">
        <f>1335.31/2047.98*100</f>
        <v>65.201320325393795</v>
      </c>
      <c r="CL5" s="53">
        <f>149.97/599.98*100</f>
        <v>24.995833194439815</v>
      </c>
      <c r="CM5" s="53">
        <f>1339.74/2047.98*100</f>
        <v>65.417631031553043</v>
      </c>
      <c r="CN5" s="53">
        <f>150.47/599.98*100</f>
        <v>25.079169305643521</v>
      </c>
      <c r="CO5" s="230" t="s">
        <v>7</v>
      </c>
      <c r="CP5" s="231"/>
      <c r="CQ5" s="53">
        <f>1340.48/2047.98*100</f>
        <v>65.453764196915984</v>
      </c>
      <c r="CR5" s="53">
        <f>150.53/599.98*100</f>
        <v>25.089169638987968</v>
      </c>
      <c r="CS5" s="53">
        <f>1349.69/2047.98*100</f>
        <v>65.903475619879103</v>
      </c>
      <c r="CT5" s="53">
        <f>150.97/599.98*100</f>
        <v>25.162505416847225</v>
      </c>
      <c r="CU5" s="53">
        <f>1352.2/2047.98*100</f>
        <v>66.026035410502061</v>
      </c>
      <c r="CV5" s="53">
        <f>151.22/599.98*100</f>
        <v>25.204173472449082</v>
      </c>
      <c r="CW5" s="53">
        <f>1356.05/2047.98*100</f>
        <v>66.214025527593051</v>
      </c>
      <c r="CX5" s="53">
        <f>151.78/599.98*100</f>
        <v>25.297509916997235</v>
      </c>
      <c r="CY5" s="53">
        <f>1356.83/2047.98*100</f>
        <v>66.252111837029659</v>
      </c>
      <c r="CZ5" s="53">
        <f>151.9/599.98*100</f>
        <v>25.317510583686122</v>
      </c>
      <c r="DA5" s="190" t="s">
        <v>9</v>
      </c>
      <c r="DB5" s="191"/>
      <c r="DC5" s="190" t="s">
        <v>7</v>
      </c>
      <c r="DD5" s="191"/>
      <c r="DE5" s="53">
        <f>1363.11/2047.98*100</f>
        <v>66.558755456596259</v>
      </c>
      <c r="DF5" s="53">
        <f>152.84/599.98*100</f>
        <v>25.474182472749092</v>
      </c>
      <c r="DG5" s="53">
        <f>1365.46/2047.98*100</f>
        <v>66.67350267092452</v>
      </c>
      <c r="DH5" s="53">
        <f>153.65/599.98*100</f>
        <v>25.609186972899096</v>
      </c>
      <c r="DI5" s="53">
        <f>1368.44/2047.98*100</f>
        <v>66.819011904413131</v>
      </c>
      <c r="DJ5" s="53">
        <f>73.91/599.98*100</f>
        <v>12.318743958131936</v>
      </c>
      <c r="DK5" s="53">
        <f>1369.69/2047.98*100</f>
        <v>66.880047656715405</v>
      </c>
      <c r="DL5" s="53">
        <f>74.41/599.98*100</f>
        <v>12.402080069335645</v>
      </c>
      <c r="DM5" s="53">
        <f>1372.86/2047.98*100</f>
        <v>67.034834324553955</v>
      </c>
      <c r="DN5" s="53">
        <f>77.22/599.98*100</f>
        <v>12.870429014300477</v>
      </c>
      <c r="DO5" s="128">
        <f>1375.18/2047.98*100</f>
        <v>67.148116680826959</v>
      </c>
      <c r="DP5" s="128">
        <f>77.47/599.98*100</f>
        <v>12.912097069902329</v>
      </c>
      <c r="DQ5" s="190" t="s">
        <v>7</v>
      </c>
      <c r="DR5" s="191"/>
      <c r="DS5" s="128">
        <f>1376.56/2047.98*100</f>
        <v>67.215500151368673</v>
      </c>
      <c r="DT5" s="128">
        <f>79.28/599.98*100</f>
        <v>13.213773792459749</v>
      </c>
      <c r="DU5" s="128">
        <f>1377.18/2047.98*100</f>
        <v>67.245773884510598</v>
      </c>
      <c r="DV5" s="128">
        <f>80.53/599.98*100</f>
        <v>13.422114070469016</v>
      </c>
      <c r="DW5" s="190" t="s">
        <v>9</v>
      </c>
      <c r="DX5" s="191"/>
      <c r="DY5" s="128">
        <f>1378.8218/2047.98*100</f>
        <v>67.32594068301448</v>
      </c>
      <c r="DZ5" s="128">
        <f>85.22/599.98*100</f>
        <v>14.203806793559783</v>
      </c>
      <c r="EA5" s="128">
        <f>1379.6/2047.98*100</f>
        <v>67.363939100967769</v>
      </c>
      <c r="EB5" s="128">
        <f>85.53/599.98*100</f>
        <v>14.255475182506084</v>
      </c>
      <c r="EC5" s="128">
        <f>1380.32/2047.98*100</f>
        <v>67.399095694293891</v>
      </c>
      <c r="ED5" s="128">
        <f>170.16/599.98*100</f>
        <v>28.360945364845492</v>
      </c>
      <c r="EE5" s="190" t="s">
        <v>9</v>
      </c>
      <c r="EF5" s="191"/>
      <c r="EG5" s="32"/>
      <c r="EH5" s="32"/>
      <c r="EI5" s="128">
        <f>1381.45/2047.98*100</f>
        <v>67.454272014375135</v>
      </c>
      <c r="EJ5" s="128">
        <f>173.78/599.98*100</f>
        <v>28.964298809960333</v>
      </c>
      <c r="EL5" s="36"/>
      <c r="EM5" s="36"/>
      <c r="EN5" s="190" t="s">
        <v>9</v>
      </c>
      <c r="EO5" s="191"/>
      <c r="EP5" s="128">
        <f>1635.76/2047.98*100</f>
        <v>79.871873748767072</v>
      </c>
      <c r="EQ5" s="128">
        <f>175.03/599.98*100</f>
        <v>29.1726390879696</v>
      </c>
      <c r="ER5" s="128">
        <f>1636.81/2047.98*100</f>
        <v>79.923143780700983</v>
      </c>
      <c r="ES5" s="128">
        <f>175.41/599.98*100</f>
        <v>29.235974532484416</v>
      </c>
      <c r="ET5" s="190" t="s">
        <v>7</v>
      </c>
      <c r="EU5" s="191"/>
      <c r="EV5" s="128">
        <f>1637.67/2047.98*100</f>
        <v>79.965136378284953</v>
      </c>
      <c r="EW5" s="128">
        <f>175.78/599.98*100</f>
        <v>29.297643254775156</v>
      </c>
      <c r="EX5" s="128">
        <f>1638.5/2047.98*100</f>
        <v>80.005664117813652</v>
      </c>
      <c r="EY5" s="128">
        <f>78.28/599.98*100</f>
        <v>13.047101570052336</v>
      </c>
      <c r="EZ5" s="128">
        <f>1640.94/2047.98*100</f>
        <v>80.124805906307685</v>
      </c>
      <c r="FA5" s="128">
        <f>90.66/599.98*100</f>
        <v>15.110503683456114</v>
      </c>
      <c r="FB5" s="128">
        <v>80.17</v>
      </c>
      <c r="FC5" s="128">
        <v>27.16</v>
      </c>
      <c r="FD5" s="53">
        <v>80.22</v>
      </c>
      <c r="FE5" s="53">
        <v>13.52</v>
      </c>
      <c r="FF5" s="53">
        <v>80.260000000000005</v>
      </c>
      <c r="FG5" s="53">
        <v>15.33</v>
      </c>
      <c r="FH5" s="190" t="s">
        <v>7</v>
      </c>
      <c r="FI5" s="191"/>
      <c r="FJ5" s="53">
        <v>80.3</v>
      </c>
      <c r="FK5" s="53">
        <v>15.37</v>
      </c>
      <c r="FL5" s="53">
        <v>80.34</v>
      </c>
      <c r="FM5" s="53">
        <v>15.42</v>
      </c>
      <c r="FN5" s="53">
        <v>80.38</v>
      </c>
      <c r="FO5" s="53">
        <v>15.47</v>
      </c>
      <c r="FP5" s="53">
        <v>80.98</v>
      </c>
      <c r="FQ5" s="53">
        <v>15.56</v>
      </c>
      <c r="FR5" s="53">
        <v>81.010000000000005</v>
      </c>
      <c r="FS5" s="53">
        <v>15.6</v>
      </c>
      <c r="FT5" s="190" t="s">
        <v>9</v>
      </c>
      <c r="FU5" s="191"/>
      <c r="FV5" s="190" t="s">
        <v>7</v>
      </c>
      <c r="FW5" s="191"/>
      <c r="FX5" s="53">
        <v>81.09</v>
      </c>
      <c r="FY5" s="53">
        <v>15.81</v>
      </c>
      <c r="FZ5" s="53">
        <v>81.12</v>
      </c>
      <c r="GA5" s="53">
        <v>15.85</v>
      </c>
      <c r="GB5" s="53">
        <v>81.150000000000006</v>
      </c>
      <c r="GC5" s="53">
        <v>27.94</v>
      </c>
      <c r="GD5" s="53">
        <v>81.17</v>
      </c>
      <c r="GE5" s="53">
        <v>28</v>
      </c>
      <c r="GF5" s="53">
        <v>81.19</v>
      </c>
      <c r="GG5" s="53">
        <v>28.02</v>
      </c>
      <c r="GH5" s="128"/>
      <c r="GI5" s="128"/>
      <c r="GJ5" s="190" t="s">
        <v>7</v>
      </c>
      <c r="GK5" s="191"/>
      <c r="GL5" s="128">
        <v>86.37</v>
      </c>
      <c r="GM5" s="128">
        <v>51.62</v>
      </c>
      <c r="GN5" s="128">
        <v>86.38</v>
      </c>
      <c r="GO5" s="128">
        <v>51.75</v>
      </c>
      <c r="GP5" s="32">
        <v>86.38</v>
      </c>
      <c r="GQ5" s="32">
        <v>51.81</v>
      </c>
      <c r="GR5" s="32">
        <v>86.38</v>
      </c>
      <c r="GS5" s="32">
        <v>51.92</v>
      </c>
      <c r="GT5" s="32">
        <v>86.38</v>
      </c>
      <c r="GU5" s="32">
        <v>51.92</v>
      </c>
      <c r="GW5" s="32">
        <v>86.38</v>
      </c>
      <c r="GX5" s="32">
        <v>51.92</v>
      </c>
      <c r="GY5" s="190" t="s">
        <v>7</v>
      </c>
      <c r="GZ5" s="191"/>
      <c r="HA5" s="190" t="s">
        <v>6</v>
      </c>
      <c r="HB5" s="191"/>
      <c r="HC5" s="128">
        <v>86.38</v>
      </c>
      <c r="HD5" s="128">
        <v>52.12</v>
      </c>
      <c r="HE5" s="128"/>
      <c r="HF5" s="128"/>
      <c r="HG5" s="190" t="s">
        <v>9</v>
      </c>
      <c r="HH5" s="191"/>
      <c r="HI5" s="190" t="s">
        <v>9</v>
      </c>
      <c r="HJ5" s="191"/>
      <c r="HK5" s="128">
        <v>86.39</v>
      </c>
      <c r="HL5" s="128">
        <v>52.33</v>
      </c>
      <c r="HM5" s="190" t="s">
        <v>7</v>
      </c>
      <c r="HN5" s="191"/>
      <c r="HO5" s="53">
        <v>86.47</v>
      </c>
      <c r="HP5" s="53">
        <v>39.659999999999997</v>
      </c>
      <c r="HQ5" s="53">
        <v>86.47</v>
      </c>
      <c r="HR5" s="53">
        <v>39.659999999999997</v>
      </c>
      <c r="HS5" s="53">
        <v>86.56</v>
      </c>
      <c r="HT5" s="53">
        <v>40.549999999999997</v>
      </c>
      <c r="HU5" s="53">
        <v>86.64</v>
      </c>
      <c r="HV5" s="53">
        <v>40.590000000000003</v>
      </c>
      <c r="HW5" s="53">
        <v>86.64</v>
      </c>
      <c r="HX5" s="53">
        <v>40.590000000000003</v>
      </c>
      <c r="HY5" s="53">
        <v>86.86</v>
      </c>
      <c r="HZ5" s="53">
        <v>53.15</v>
      </c>
      <c r="IA5" s="53">
        <v>86.86</v>
      </c>
      <c r="IB5" s="53">
        <v>53.15</v>
      </c>
      <c r="IC5" s="53">
        <v>87.03</v>
      </c>
      <c r="ID5" s="53">
        <v>53.25</v>
      </c>
      <c r="IE5" s="53">
        <v>87.03</v>
      </c>
      <c r="IF5" s="53">
        <v>53.25</v>
      </c>
      <c r="IG5" s="53">
        <v>87.03</v>
      </c>
      <c r="IH5" s="53">
        <v>53.25</v>
      </c>
      <c r="II5" s="53">
        <v>87.06</v>
      </c>
      <c r="IJ5" s="53">
        <v>53.26</v>
      </c>
      <c r="IK5" s="190" t="s">
        <v>7</v>
      </c>
      <c r="IL5" s="191"/>
      <c r="IM5" s="53">
        <v>87.06</v>
      </c>
      <c r="IN5" s="53">
        <v>53.26</v>
      </c>
      <c r="IO5" s="190" t="s">
        <v>7</v>
      </c>
      <c r="IP5" s="191"/>
      <c r="IQ5" s="53">
        <v>87.38</v>
      </c>
      <c r="IR5" s="53">
        <v>53.46</v>
      </c>
      <c r="IS5" s="53">
        <v>87.38</v>
      </c>
      <c r="IT5" s="53">
        <v>53.46</v>
      </c>
      <c r="IU5" s="53">
        <v>87.38</v>
      </c>
      <c r="IV5" s="53">
        <v>53.46</v>
      </c>
      <c r="IW5" s="128">
        <v>89.79</v>
      </c>
      <c r="IX5" s="128">
        <v>74.87</v>
      </c>
      <c r="IY5" s="128">
        <v>89.79</v>
      </c>
      <c r="IZ5" s="128">
        <v>74.87</v>
      </c>
      <c r="JA5" s="128">
        <v>89.95</v>
      </c>
      <c r="JB5" s="128">
        <v>74.97</v>
      </c>
      <c r="JC5" s="128"/>
      <c r="JD5" s="128"/>
      <c r="JE5" s="128">
        <v>89.95</v>
      </c>
      <c r="JF5" s="128">
        <v>74.97</v>
      </c>
      <c r="JH5" s="128">
        <v>90.16</v>
      </c>
      <c r="JI5" s="128">
        <v>75.09</v>
      </c>
      <c r="JJ5" s="128">
        <v>90.16</v>
      </c>
      <c r="JK5" s="128">
        <v>75.09</v>
      </c>
      <c r="JL5" s="128">
        <v>90.16</v>
      </c>
      <c r="JM5" s="128">
        <v>75.09</v>
      </c>
      <c r="JN5" s="128">
        <v>90.16</v>
      </c>
      <c r="JO5" s="128">
        <v>75.09</v>
      </c>
      <c r="JP5" s="128">
        <v>91.05</v>
      </c>
      <c r="JQ5" s="128">
        <v>75.56</v>
      </c>
      <c r="JR5" s="184" t="s">
        <v>7</v>
      </c>
      <c r="JS5" s="185"/>
      <c r="JT5" s="128">
        <v>91.05</v>
      </c>
      <c r="JU5" s="128">
        <v>75.56</v>
      </c>
      <c r="JV5" s="128">
        <v>91.31</v>
      </c>
      <c r="JW5" s="128">
        <v>75.72</v>
      </c>
      <c r="JX5" s="128">
        <v>91.31</v>
      </c>
      <c r="JY5" s="128">
        <v>75.72</v>
      </c>
      <c r="JZ5" s="128">
        <v>91.31</v>
      </c>
      <c r="KA5" s="128">
        <v>75.72</v>
      </c>
      <c r="KB5" s="128">
        <v>91.31</v>
      </c>
      <c r="KC5" s="128">
        <v>75.72</v>
      </c>
      <c r="KD5" s="128">
        <v>91.31</v>
      </c>
      <c r="KE5" s="128">
        <v>75.72</v>
      </c>
      <c r="KF5" s="184" t="s">
        <v>7</v>
      </c>
      <c r="KG5" s="185"/>
      <c r="KH5" s="128">
        <v>91.31</v>
      </c>
      <c r="KI5" s="128">
        <v>75.72</v>
      </c>
      <c r="KJ5" s="128">
        <v>91.31</v>
      </c>
      <c r="KK5" s="128">
        <v>75.72</v>
      </c>
      <c r="KL5" s="128">
        <v>92.02</v>
      </c>
      <c r="KM5" s="128">
        <v>76.2</v>
      </c>
    </row>
    <row r="6" spans="1:305" x14ac:dyDescent="0.3">
      <c r="A6" s="146">
        <v>2</v>
      </c>
      <c r="B6" s="147" t="s">
        <v>10</v>
      </c>
      <c r="C6" s="26" t="s">
        <v>47</v>
      </c>
      <c r="D6" s="213"/>
      <c r="E6" s="14">
        <v>1184367.68</v>
      </c>
      <c r="F6" s="216"/>
      <c r="G6" s="14">
        <f>1119859.67+274429.28</f>
        <v>1394288.95</v>
      </c>
      <c r="H6" s="72">
        <f>1119859.32+241573.28</f>
        <v>1361432.6</v>
      </c>
      <c r="I6" s="45">
        <f>1119859.32+235259.34</f>
        <v>1355118.6600000001</v>
      </c>
      <c r="J6" s="22">
        <v>0.71199999999999997</v>
      </c>
      <c r="K6" s="60">
        <v>0.45950000000000002</v>
      </c>
      <c r="L6" s="55">
        <f>1119859.32+246871.22</f>
        <v>1366730.54</v>
      </c>
      <c r="M6" s="22">
        <v>0.71199999999999997</v>
      </c>
      <c r="N6" s="60">
        <v>0.48220000000000002</v>
      </c>
      <c r="O6" s="45">
        <f>1119859.32+251910.47</f>
        <v>1371769.79</v>
      </c>
      <c r="P6" s="22">
        <v>0.71199999999999997</v>
      </c>
      <c r="Q6" s="60">
        <v>0.49199999999999999</v>
      </c>
      <c r="R6" s="55">
        <f>1119859.32+242142.16</f>
        <v>1362001.48</v>
      </c>
      <c r="S6" s="22">
        <v>0.71199999999999997</v>
      </c>
      <c r="T6" s="60">
        <v>0.47299999999999998</v>
      </c>
      <c r="U6" s="203"/>
      <c r="V6" s="45">
        <f>1119859.32+245948.09</f>
        <v>1365807.4100000001</v>
      </c>
      <c r="W6" s="22">
        <v>0.71199999999999997</v>
      </c>
      <c r="X6" s="60">
        <v>0.48039999999999999</v>
      </c>
      <c r="Y6" s="45">
        <f>1119859.32+250940.22</f>
        <v>1370799.54</v>
      </c>
      <c r="Z6" s="77">
        <v>0.71199999999999997</v>
      </c>
      <c r="AA6" s="79">
        <v>0.49009999999999998</v>
      </c>
      <c r="AB6" s="45">
        <f>1119859.32+243146.91</f>
        <v>1363006.23</v>
      </c>
      <c r="AC6" s="77">
        <v>0.71199999999999997</v>
      </c>
      <c r="AD6" s="79">
        <v>0.47489999999999999</v>
      </c>
      <c r="AE6" s="55">
        <f>1119923.32+240054.41</f>
        <v>1359977.73</v>
      </c>
      <c r="AF6" s="77">
        <v>0.71199999999999997</v>
      </c>
      <c r="AG6" s="77">
        <v>0.46889999999999998</v>
      </c>
      <c r="AH6" s="14">
        <f>1119923.32+249505.22</f>
        <v>1369428.54</v>
      </c>
      <c r="AI6" s="22">
        <v>0.71199999999999997</v>
      </c>
      <c r="AJ6" s="22">
        <v>0.48730000000000001</v>
      </c>
      <c r="AK6" s="14">
        <f>1119923.32+240624.97</f>
        <v>1360548.29</v>
      </c>
      <c r="AL6" s="22">
        <v>0.71199999999999997</v>
      </c>
      <c r="AM6" s="22">
        <v>0.47</v>
      </c>
      <c r="AN6" s="186"/>
      <c r="AO6" s="223"/>
      <c r="AP6" s="187"/>
      <c r="AQ6" s="14">
        <f>1119923.32+240624.97</f>
        <v>1360548.29</v>
      </c>
      <c r="AR6" s="22">
        <v>0.71199999999999997</v>
      </c>
      <c r="AS6" s="22">
        <v>0.47</v>
      </c>
      <c r="AT6" s="14">
        <f>1119923.32+239303.28</f>
        <v>1359226.6</v>
      </c>
      <c r="AU6" s="22">
        <v>0.71199999999999997</v>
      </c>
      <c r="AV6" s="22">
        <v>0.46739999999999998</v>
      </c>
      <c r="AW6" s="192"/>
      <c r="AX6" s="193"/>
      <c r="AY6" s="196"/>
      <c r="AZ6" s="192"/>
      <c r="BA6" s="193"/>
      <c r="BB6" s="196"/>
      <c r="BC6" s="14">
        <f>1119923.32+248289.22</f>
        <v>1368212.54</v>
      </c>
      <c r="BD6" s="22">
        <v>0.71199999999999997</v>
      </c>
      <c r="BE6" s="22">
        <v>0.48499999999999999</v>
      </c>
      <c r="BF6" s="14">
        <f>1094790+6128</f>
        <v>1100918</v>
      </c>
      <c r="BG6" s="22">
        <v>0.71199999999999997</v>
      </c>
      <c r="BH6" s="22">
        <v>0.46870000000000001</v>
      </c>
      <c r="BI6" s="228"/>
      <c r="BJ6" s="14">
        <f>1119987.32+238151.28</f>
        <v>1358138.6</v>
      </c>
      <c r="BK6" s="22">
        <v>0.71209999999999996</v>
      </c>
      <c r="BL6" s="22">
        <v>0.4652</v>
      </c>
      <c r="BM6" s="14">
        <f>1120051.32+237616.72</f>
        <v>1357668.04</v>
      </c>
      <c r="BN6" s="22">
        <v>0.71209999999999996</v>
      </c>
      <c r="BO6" s="22">
        <v>0.46410000000000001</v>
      </c>
      <c r="BP6" s="14">
        <f>1120051.32+236584.03</f>
        <v>1356635.35</v>
      </c>
      <c r="BQ6" s="22">
        <v>0.71209999999999996</v>
      </c>
      <c r="BR6" s="22">
        <v>0.46210000000000001</v>
      </c>
      <c r="BS6" s="14">
        <f>1120051.32+238026.72</f>
        <v>1358078.04</v>
      </c>
      <c r="BT6" s="22">
        <v>0.71209999999999996</v>
      </c>
      <c r="BU6" s="22">
        <v>0.46489999999999998</v>
      </c>
      <c r="BV6" s="14">
        <f>1120051.32+237744.72</f>
        <v>1357796.04</v>
      </c>
      <c r="BW6" s="22">
        <v>0.71209999999999996</v>
      </c>
      <c r="BX6" s="22">
        <v>0.46439999999999998</v>
      </c>
      <c r="BY6" s="14">
        <f>1120051.32+244156.09</f>
        <v>1364207.4100000001</v>
      </c>
      <c r="BZ6" s="22">
        <v>0.71209999999999996</v>
      </c>
      <c r="CA6" s="22">
        <v>0.47689999999999999</v>
      </c>
      <c r="CC6" s="72">
        <f>1093.8/1535.98*100</f>
        <v>71.211864737822111</v>
      </c>
      <c r="CD6" s="72">
        <f>29.06/499.98*100</f>
        <v>5.8122324892995714</v>
      </c>
      <c r="CE6" s="72">
        <f>1093.8/1535.98*100</f>
        <v>71.211864737822111</v>
      </c>
      <c r="CF6" s="72">
        <f>29.77/499.98*100</f>
        <v>5.9542381695267803</v>
      </c>
      <c r="CG6" s="72">
        <f>1093.8/1535.98*100</f>
        <v>71.211864737822111</v>
      </c>
      <c r="CH6" s="72">
        <f>34.82/499.98*100</f>
        <v>6.9642785711428452</v>
      </c>
      <c r="CI6" s="72">
        <f>1093.8/1535.98*100</f>
        <v>71.211864737822111</v>
      </c>
      <c r="CJ6" s="72">
        <f>32.64/499.98*100</f>
        <v>6.5282611304452178</v>
      </c>
      <c r="CK6" s="72">
        <f>1093.8/1535.98*100</f>
        <v>71.211864737822111</v>
      </c>
      <c r="CL6" s="72">
        <f>29.83/499.98*100</f>
        <v>5.9662386495459812</v>
      </c>
      <c r="CM6" s="72">
        <f>1093.8/1535.98*100</f>
        <v>71.211864737822111</v>
      </c>
      <c r="CN6" s="72">
        <f>32.1/499.98*100</f>
        <v>6.4202568102724111</v>
      </c>
      <c r="CO6" s="232"/>
      <c r="CP6" s="233"/>
      <c r="CQ6" s="72">
        <f>1093.8/1535.98*100</f>
        <v>71.211864737822111</v>
      </c>
      <c r="CR6" s="72">
        <f>27.42/499.98*100</f>
        <v>5.4842193687747507</v>
      </c>
      <c r="CS6" s="72">
        <f>1093.8/1535.98*100</f>
        <v>71.211864737822111</v>
      </c>
      <c r="CT6" s="72">
        <f>27.61/499.98*100</f>
        <v>5.5222208888355526</v>
      </c>
      <c r="CU6" s="72">
        <f>1093.8/1535.98*100</f>
        <v>71.211864737822111</v>
      </c>
      <c r="CV6" s="72">
        <f>27.88/499.98*100</f>
        <v>5.576223048921956</v>
      </c>
      <c r="CW6" s="72">
        <f>1093.8/1535.98*100</f>
        <v>71.211864737822111</v>
      </c>
      <c r="CX6" s="72">
        <f>30.08/499.98*100</f>
        <v>6.0162406496259848</v>
      </c>
      <c r="CY6" s="72">
        <f>1093.8/1535.98*100</f>
        <v>71.211864737822111</v>
      </c>
      <c r="CZ6" s="72">
        <f>27.8/499.98*100</f>
        <v>5.5602224088963554</v>
      </c>
      <c r="DA6" s="192"/>
      <c r="DB6" s="193"/>
      <c r="DC6" s="192"/>
      <c r="DD6" s="193"/>
      <c r="DE6" s="72">
        <f>1093.86/1535.98*100</f>
        <v>71.215771038685389</v>
      </c>
      <c r="DF6" s="72">
        <f>30.52/499.98*100</f>
        <v>6.1042441697667904</v>
      </c>
      <c r="DG6" s="72">
        <f>1093.86/1535.98*100</f>
        <v>71.215771038685389</v>
      </c>
      <c r="DH6" s="72">
        <f>29.81/499.98*100</f>
        <v>5.9622384895395815</v>
      </c>
      <c r="DI6" s="72">
        <f>1093.86/1535.98*100</f>
        <v>71.215771038685389</v>
      </c>
      <c r="DJ6" s="72">
        <f>31.44/499.98*100</f>
        <v>6.2882515300612019</v>
      </c>
      <c r="DK6" s="72">
        <f>1093.86/1535.98*100</f>
        <v>71.215771038685389</v>
      </c>
      <c r="DL6" s="72">
        <f>28.74/499.98*100</f>
        <v>5.7482299291971675</v>
      </c>
      <c r="DM6" s="72">
        <f>1093.86/1535.98*100</f>
        <v>71.215771038685389</v>
      </c>
      <c r="DN6" s="72">
        <f>30.14/499.98*100</f>
        <v>6.0282411296451857</v>
      </c>
      <c r="DO6" s="129">
        <f>1093.86/1535.98*100</f>
        <v>71.215771038685389</v>
      </c>
      <c r="DP6" s="129">
        <f>30.99/499.98*100</f>
        <v>6.198247929917196</v>
      </c>
      <c r="DQ6" s="192"/>
      <c r="DR6" s="193"/>
      <c r="DS6" s="129">
        <f>1093.86/1535.98*100</f>
        <v>71.215771038685389</v>
      </c>
      <c r="DT6" s="129">
        <f>31.08/499.98*100</f>
        <v>6.2162486499459968</v>
      </c>
      <c r="DU6" s="129">
        <f>1093.86/1535.98*100</f>
        <v>71.215771038685389</v>
      </c>
      <c r="DV6" s="129">
        <f>31.08/499.98*100</f>
        <v>6.2162486499459968</v>
      </c>
      <c r="DW6" s="192"/>
      <c r="DX6" s="193"/>
      <c r="DY6" s="129">
        <f>1093.86/1535.98*100</f>
        <v>71.215771038685389</v>
      </c>
      <c r="DZ6" s="129">
        <f>31.55/499.98*100</f>
        <v>6.3102524100964033</v>
      </c>
      <c r="EA6" s="129">
        <f>1093.86/1535.98*100</f>
        <v>71.215771038685389</v>
      </c>
      <c r="EB6" s="129">
        <f>31.2/499.98*100</f>
        <v>6.2402496099843985</v>
      </c>
      <c r="EC6" s="129">
        <f>1093.86/1535.98*100</f>
        <v>71.215771038685389</v>
      </c>
      <c r="ED6" s="129">
        <f>31.61/499.98*100</f>
        <v>6.3222528901156041</v>
      </c>
      <c r="EE6" s="192"/>
      <c r="EF6" s="193"/>
      <c r="EG6" s="14"/>
      <c r="EH6" s="22"/>
      <c r="EI6" s="129">
        <f>1093.86/1535.98*100</f>
        <v>71.215771038685389</v>
      </c>
      <c r="EJ6" s="129">
        <f>31.27/499.98*100</f>
        <v>6.2542501700068005</v>
      </c>
      <c r="EL6" s="72"/>
      <c r="EM6" s="72"/>
      <c r="EN6" s="192"/>
      <c r="EO6" s="193"/>
      <c r="EP6" s="129">
        <f>1077.74/1535.98*100</f>
        <v>70.166278206747478</v>
      </c>
      <c r="EQ6" s="129">
        <f>30.33/499.98*100</f>
        <v>6.0662426497059876</v>
      </c>
      <c r="ER6" s="129">
        <f>1078.68/1535.98*100</f>
        <v>70.227476920272409</v>
      </c>
      <c r="ES6" s="129">
        <f>30.8/499.98*100</f>
        <v>6.160246409856394</v>
      </c>
      <c r="ET6" s="192"/>
      <c r="EU6" s="193"/>
      <c r="EV6" s="53">
        <f>1081.54/1499.98*100</f>
        <v>72.103628048373977</v>
      </c>
      <c r="EW6" s="53">
        <f>8.59/299.98*100</f>
        <v>2.8635242349489962</v>
      </c>
      <c r="EX6" s="53">
        <f>1082.41/1499.98*100</f>
        <v>72.161628821717628</v>
      </c>
      <c r="EY6" s="53">
        <f>9.75/299.98*100</f>
        <v>3.2502166811120738</v>
      </c>
      <c r="EZ6" s="53">
        <f>1083.1/1499.98*100</f>
        <v>72.207629435059133</v>
      </c>
      <c r="FA6" s="53">
        <f>5.2/299.98*100</f>
        <v>1.7334488965931063</v>
      </c>
      <c r="FB6" s="53">
        <v>72.27</v>
      </c>
      <c r="FC6" s="53">
        <v>5.58</v>
      </c>
      <c r="FD6" s="53">
        <v>72.3</v>
      </c>
      <c r="FE6" s="53">
        <v>5.58</v>
      </c>
      <c r="FF6" s="53">
        <v>72.36</v>
      </c>
      <c r="FG6" s="53">
        <v>5.58</v>
      </c>
      <c r="FH6" s="192"/>
      <c r="FI6" s="193"/>
      <c r="FJ6" s="53">
        <v>72.45</v>
      </c>
      <c r="FK6" s="53">
        <v>5.58</v>
      </c>
      <c r="FL6" s="53">
        <v>72.510000000000005</v>
      </c>
      <c r="FM6" s="53">
        <v>5.58</v>
      </c>
      <c r="FN6" s="53">
        <v>72.650000000000006</v>
      </c>
      <c r="FO6" s="53">
        <v>9.2899999999999991</v>
      </c>
      <c r="FP6" s="53">
        <v>72.72</v>
      </c>
      <c r="FQ6" s="53">
        <v>9.2899999999999991</v>
      </c>
      <c r="FR6" s="53">
        <v>72.78</v>
      </c>
      <c r="FS6" s="53">
        <v>9.2899999999999991</v>
      </c>
      <c r="FT6" s="192"/>
      <c r="FU6" s="193"/>
      <c r="FV6" s="192"/>
      <c r="FW6" s="193"/>
      <c r="FX6" s="53">
        <v>72.94</v>
      </c>
      <c r="FY6" s="53">
        <v>9.35</v>
      </c>
      <c r="FZ6" s="53">
        <v>72.989999999999995</v>
      </c>
      <c r="GA6" s="53">
        <v>9.35</v>
      </c>
      <c r="GB6" s="53">
        <v>73.08</v>
      </c>
      <c r="GC6" s="53">
        <v>9.35</v>
      </c>
      <c r="GD6" s="53">
        <v>73.14</v>
      </c>
      <c r="GE6" s="53">
        <v>9.35</v>
      </c>
      <c r="GF6" s="53">
        <v>73.180000000000007</v>
      </c>
      <c r="GG6" s="53">
        <v>9.35</v>
      </c>
      <c r="GH6" s="53"/>
      <c r="GI6" s="53"/>
      <c r="GJ6" s="192"/>
      <c r="GK6" s="193"/>
      <c r="GL6" s="53">
        <v>76.650000000000006</v>
      </c>
      <c r="GM6" s="53">
        <v>62.16</v>
      </c>
      <c r="GN6" s="53">
        <v>76.72</v>
      </c>
      <c r="GO6" s="53">
        <v>62.16</v>
      </c>
      <c r="GP6" s="53">
        <v>76.86</v>
      </c>
      <c r="GQ6" s="53">
        <v>62.16</v>
      </c>
      <c r="GR6" s="53">
        <v>76.94</v>
      </c>
      <c r="GS6" s="53">
        <v>62.16</v>
      </c>
      <c r="GT6" s="53">
        <v>76.94</v>
      </c>
      <c r="GU6" s="53">
        <v>62.16</v>
      </c>
      <c r="GW6" s="53">
        <v>76.94</v>
      </c>
      <c r="GX6" s="53">
        <v>62.16</v>
      </c>
      <c r="GY6" s="192"/>
      <c r="GZ6" s="193"/>
      <c r="HA6" s="192"/>
      <c r="HB6" s="193"/>
      <c r="HC6" s="53">
        <v>77.13</v>
      </c>
      <c r="HD6" s="53">
        <v>62.16</v>
      </c>
      <c r="HE6" s="53"/>
      <c r="HF6" s="53"/>
      <c r="HG6" s="192"/>
      <c r="HH6" s="193"/>
      <c r="HI6" s="192"/>
      <c r="HJ6" s="193"/>
      <c r="HK6" s="53">
        <v>77.489999999999995</v>
      </c>
      <c r="HL6" s="53">
        <v>62.18</v>
      </c>
      <c r="HM6" s="192"/>
      <c r="HN6" s="193"/>
      <c r="HO6" s="53">
        <v>77.739999999999995</v>
      </c>
      <c r="HP6" s="53">
        <v>62.2</v>
      </c>
      <c r="HQ6" s="53">
        <v>77.739999999999995</v>
      </c>
      <c r="HR6" s="53">
        <v>62.2</v>
      </c>
      <c r="HS6" s="53">
        <v>77.819999999999993</v>
      </c>
      <c r="HT6" s="53">
        <v>62.2</v>
      </c>
      <c r="HU6" s="53">
        <v>77.91</v>
      </c>
      <c r="HV6" s="53">
        <v>62.2</v>
      </c>
      <c r="HW6" s="53">
        <v>77.91</v>
      </c>
      <c r="HX6" s="53">
        <v>62.2</v>
      </c>
      <c r="HY6" s="53">
        <v>78.150000000000006</v>
      </c>
      <c r="HZ6" s="53">
        <v>62.2</v>
      </c>
      <c r="IA6" s="53">
        <v>78.150000000000006</v>
      </c>
      <c r="IB6" s="53">
        <v>62.2</v>
      </c>
      <c r="IC6" s="53">
        <v>78.33</v>
      </c>
      <c r="ID6" s="53">
        <v>62.2</v>
      </c>
      <c r="IE6" s="53">
        <v>78.33</v>
      </c>
      <c r="IF6" s="53">
        <v>62.2</v>
      </c>
      <c r="IG6" s="53">
        <v>78.33</v>
      </c>
      <c r="IH6" s="53">
        <v>62.2</v>
      </c>
      <c r="II6" s="53">
        <v>78.36</v>
      </c>
      <c r="IJ6" s="53">
        <v>62.2</v>
      </c>
      <c r="IK6" s="192"/>
      <c r="IL6" s="193"/>
      <c r="IM6" s="53">
        <v>78.36</v>
      </c>
      <c r="IN6" s="53">
        <v>62.2</v>
      </c>
      <c r="IO6" s="192"/>
      <c r="IP6" s="193"/>
      <c r="IQ6" s="53">
        <v>78.680000000000007</v>
      </c>
      <c r="IR6" s="53">
        <v>62.2</v>
      </c>
      <c r="IS6" s="53">
        <v>78.680000000000007</v>
      </c>
      <c r="IT6" s="53">
        <v>62.2</v>
      </c>
      <c r="IU6" s="53">
        <v>78.680000000000007</v>
      </c>
      <c r="IV6" s="53">
        <v>62.2</v>
      </c>
      <c r="IW6" s="53">
        <v>79.709999999999994</v>
      </c>
      <c r="IX6" s="53">
        <v>62.2</v>
      </c>
      <c r="IY6" s="53">
        <v>79.709999999999994</v>
      </c>
      <c r="IZ6" s="53">
        <v>62.2</v>
      </c>
      <c r="JA6" s="53">
        <v>79.709999999999994</v>
      </c>
      <c r="JB6" s="53">
        <v>62.2</v>
      </c>
      <c r="JC6" s="53"/>
      <c r="JD6" s="53"/>
      <c r="JE6" s="53">
        <v>79.709999999999994</v>
      </c>
      <c r="JF6" s="53">
        <v>62.2</v>
      </c>
      <c r="JH6" s="53">
        <v>80.13</v>
      </c>
      <c r="JI6" s="53">
        <v>62.2</v>
      </c>
      <c r="JJ6" s="53">
        <v>80.13</v>
      </c>
      <c r="JK6" s="53">
        <v>62.2</v>
      </c>
      <c r="JL6" s="53">
        <v>80.13</v>
      </c>
      <c r="JM6" s="53">
        <v>62.2</v>
      </c>
      <c r="JN6" s="53">
        <v>80.13</v>
      </c>
      <c r="JO6" s="53">
        <v>62.2</v>
      </c>
      <c r="JP6" s="53">
        <v>80.42</v>
      </c>
      <c r="JQ6" s="53">
        <v>62.2</v>
      </c>
      <c r="JR6" s="186"/>
      <c r="JS6" s="187"/>
      <c r="JT6" s="53">
        <v>80.42</v>
      </c>
      <c r="JU6" s="53">
        <v>62.2</v>
      </c>
      <c r="JV6" s="53">
        <v>80.790000000000006</v>
      </c>
      <c r="JW6" s="53">
        <v>62.22</v>
      </c>
      <c r="JX6" s="53">
        <v>80.790000000000006</v>
      </c>
      <c r="JY6" s="53">
        <v>62.22</v>
      </c>
      <c r="JZ6" s="53">
        <v>80.790000000000006</v>
      </c>
      <c r="KA6" s="53">
        <v>62.22</v>
      </c>
      <c r="KB6" s="53">
        <v>80.790000000000006</v>
      </c>
      <c r="KC6" s="53">
        <v>62.22</v>
      </c>
      <c r="KD6" s="53">
        <v>80.790000000000006</v>
      </c>
      <c r="KE6" s="53">
        <v>62.22</v>
      </c>
      <c r="KF6" s="186"/>
      <c r="KG6" s="187"/>
      <c r="KH6" s="53">
        <v>80.790000000000006</v>
      </c>
      <c r="KI6" s="53">
        <v>62.22</v>
      </c>
      <c r="KJ6" s="53">
        <v>80.790000000000006</v>
      </c>
      <c r="KK6" s="53">
        <v>62.22</v>
      </c>
      <c r="KL6" s="53">
        <v>81.510000000000005</v>
      </c>
      <c r="KM6" s="53">
        <v>62.22</v>
      </c>
    </row>
    <row r="7" spans="1:305" x14ac:dyDescent="0.3">
      <c r="A7" s="24">
        <v>3</v>
      </c>
      <c r="B7" s="25" t="s">
        <v>11</v>
      </c>
      <c r="C7" s="26" t="s">
        <v>47</v>
      </c>
      <c r="D7" s="213"/>
      <c r="E7" s="27"/>
      <c r="F7" s="216"/>
      <c r="G7" s="27"/>
      <c r="H7" s="53"/>
      <c r="I7" s="61"/>
      <c r="J7" s="27"/>
      <c r="K7" s="62"/>
      <c r="L7" s="56"/>
      <c r="M7" s="27"/>
      <c r="N7" s="62"/>
      <c r="O7" s="61"/>
      <c r="P7" s="27"/>
      <c r="Q7" s="62"/>
      <c r="R7" s="56"/>
      <c r="S7" s="27"/>
      <c r="T7" s="62"/>
      <c r="U7" s="203"/>
      <c r="V7" s="61"/>
      <c r="W7" s="27"/>
      <c r="X7" s="62"/>
      <c r="Y7" s="61"/>
      <c r="Z7" s="56"/>
      <c r="AA7" s="80"/>
      <c r="AB7" s="61"/>
      <c r="AC7" s="56"/>
      <c r="AD7" s="80"/>
      <c r="AE7" s="56"/>
      <c r="AF7" s="56"/>
      <c r="AG7" s="56"/>
      <c r="AH7" s="27"/>
      <c r="AI7" s="27"/>
      <c r="AJ7" s="27"/>
      <c r="AK7" s="27"/>
      <c r="AL7" s="27"/>
      <c r="AM7" s="27"/>
      <c r="AN7" s="186"/>
      <c r="AO7" s="223"/>
      <c r="AP7" s="187"/>
      <c r="AQ7" s="27"/>
      <c r="AR7" s="27"/>
      <c r="AS7" s="27"/>
      <c r="AT7" s="27"/>
      <c r="AU7" s="27"/>
      <c r="AV7" s="27"/>
      <c r="AW7" s="192"/>
      <c r="AX7" s="193"/>
      <c r="AY7" s="196"/>
      <c r="AZ7" s="192"/>
      <c r="BA7" s="193"/>
      <c r="BB7" s="196"/>
      <c r="BC7" s="27"/>
      <c r="BD7" s="27"/>
      <c r="BE7" s="27"/>
      <c r="BF7" s="27"/>
      <c r="BG7" s="27"/>
      <c r="BH7" s="27"/>
      <c r="BI7" s="228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C7" s="53"/>
      <c r="CD7" s="53"/>
      <c r="CE7" s="61"/>
      <c r="CF7" s="27"/>
      <c r="CG7" s="56"/>
      <c r="CH7" s="27"/>
      <c r="CI7" s="61"/>
      <c r="CJ7" s="27"/>
      <c r="CK7" s="53">
        <f>1353.14/1999.98*100</f>
        <v>67.657676576765766</v>
      </c>
      <c r="CL7" s="53">
        <f>17.78/599.98*100</f>
        <v>2.9634321144038136</v>
      </c>
      <c r="CM7" s="53">
        <f>1353.14/1999.98*100</f>
        <v>67.657676576765766</v>
      </c>
      <c r="CN7" s="53">
        <f>18.98/599.98*100</f>
        <v>3.1634387812927098</v>
      </c>
      <c r="CO7" s="232"/>
      <c r="CP7" s="233"/>
      <c r="CQ7" s="53">
        <f>1353.14/1999.98*100</f>
        <v>67.657676576765766</v>
      </c>
      <c r="CR7" s="53">
        <f>16.49/599.98*100</f>
        <v>2.7484249474982496</v>
      </c>
      <c r="CS7" s="53">
        <f>1353.14/1999.98*100</f>
        <v>67.657676576765766</v>
      </c>
      <c r="CT7" s="53">
        <f>16.96/599.98*100</f>
        <v>2.8267608920297347</v>
      </c>
      <c r="CU7" s="53">
        <f>1353.14/1999.98*100</f>
        <v>67.657676576765766</v>
      </c>
      <c r="CV7" s="53">
        <f>16.61/599.98*100</f>
        <v>2.7684256141871395</v>
      </c>
      <c r="CW7" s="53">
        <f>1353.14/1999.98*100</f>
        <v>67.657676576765766</v>
      </c>
      <c r="CX7" s="53">
        <f>23.02/599.98*100</f>
        <v>3.8367945598186606</v>
      </c>
      <c r="CY7" s="53">
        <f>1353.14/1999.98*100</f>
        <v>67.657676576765766</v>
      </c>
      <c r="CZ7" s="53">
        <f>21.9/599.98*100</f>
        <v>3.6501216707223567</v>
      </c>
      <c r="DA7" s="192"/>
      <c r="DB7" s="193"/>
      <c r="DC7" s="192"/>
      <c r="DD7" s="193"/>
      <c r="DE7" s="53">
        <f>1353.14/1999.98*100</f>
        <v>67.657676576765766</v>
      </c>
      <c r="DF7" s="53">
        <f>24.03/599.98*100</f>
        <v>4.005133504450149</v>
      </c>
      <c r="DG7" s="53">
        <f>1353.14/1999.98*100</f>
        <v>67.657676576765766</v>
      </c>
      <c r="DH7" s="53">
        <f>21.96/599.98*100</f>
        <v>3.6601220040668023</v>
      </c>
      <c r="DI7" s="53">
        <f>1353.14/1999.98*100</f>
        <v>67.657676576765766</v>
      </c>
      <c r="DJ7" s="53">
        <f>22.03/599.98*100</f>
        <v>3.6717890596353211</v>
      </c>
      <c r="DK7" s="53">
        <f>1353.14/1999.98*100</f>
        <v>67.657676576765766</v>
      </c>
      <c r="DL7" s="53">
        <f>29.53/599.98*100</f>
        <v>4.9218307276909226</v>
      </c>
      <c r="DM7" s="53">
        <f>1353.14/1999.98*100</f>
        <v>67.657676576765766</v>
      </c>
      <c r="DN7" s="53">
        <f>27.88/599.98*100</f>
        <v>4.6468215607186902</v>
      </c>
      <c r="DO7" s="128">
        <f>1353.14/1999.98*100</f>
        <v>67.657676576765766</v>
      </c>
      <c r="DP7" s="128">
        <f>29.59/599.98*100</f>
        <v>4.9318310610353677</v>
      </c>
      <c r="DQ7" s="192"/>
      <c r="DR7" s="193"/>
      <c r="DS7" s="128">
        <f>1353.14/1999.98*100</f>
        <v>67.657676576765766</v>
      </c>
      <c r="DT7" s="128">
        <f>28.01/599.98*100</f>
        <v>4.6684889496316542</v>
      </c>
      <c r="DU7" s="128">
        <f>1353.14/1999.98*100</f>
        <v>67.657676576765766</v>
      </c>
      <c r="DV7" s="128">
        <f>28.91/599.98*100</f>
        <v>4.8184939497983263</v>
      </c>
      <c r="DW7" s="192"/>
      <c r="DX7" s="193"/>
      <c r="DY7" s="128">
        <f>1353.14/1999.98*100</f>
        <v>67.657676576765766</v>
      </c>
      <c r="DZ7" s="128">
        <f>13.5/599.98*100</f>
        <v>2.2500750025000831</v>
      </c>
      <c r="EA7" s="128">
        <f>1353.14/1999.98*100</f>
        <v>67.657676576765766</v>
      </c>
      <c r="EB7" s="128">
        <f>13.75/599.98*100</f>
        <v>2.2917430581019369</v>
      </c>
      <c r="EC7" s="128">
        <f>1353.14/1999.98*100</f>
        <v>67.657676576765766</v>
      </c>
      <c r="ED7" s="128">
        <f>14.99/599.98*100</f>
        <v>2.4984166138871293</v>
      </c>
      <c r="EE7" s="192"/>
      <c r="EF7" s="193"/>
      <c r="EG7" s="27"/>
      <c r="EH7" s="27"/>
      <c r="EI7" s="128">
        <f>1353.14/1999.98*100</f>
        <v>67.657676576765766</v>
      </c>
      <c r="EJ7" s="128">
        <f>15.42/599.98*100</f>
        <v>2.5700856695223173</v>
      </c>
      <c r="EL7" s="53"/>
      <c r="EM7" s="53"/>
      <c r="EN7" s="192"/>
      <c r="EO7" s="193"/>
      <c r="EP7" s="128">
        <f>1353.14/1999.98*100</f>
        <v>67.657676576765766</v>
      </c>
      <c r="EQ7" s="128">
        <f>175.59/599.98*100</f>
        <v>29.26597553251775</v>
      </c>
      <c r="ER7" s="128">
        <f>1353.14/1999.98*100</f>
        <v>67.657676576765766</v>
      </c>
      <c r="ES7" s="128">
        <f>176.24/599.98*100</f>
        <v>29.374312477082569</v>
      </c>
      <c r="ET7" s="192"/>
      <c r="EU7" s="193"/>
      <c r="EV7" s="128">
        <f>1353.14/1999.98*100</f>
        <v>67.657676576765766</v>
      </c>
      <c r="EW7" s="128">
        <f>175.59/599.98*100</f>
        <v>29.26597553251775</v>
      </c>
      <c r="EX7" s="128">
        <f>1353.14/1999.98*100</f>
        <v>67.657676576765766</v>
      </c>
      <c r="EY7" s="128">
        <f>175.96/599.98*100</f>
        <v>29.327644254808494</v>
      </c>
      <c r="EZ7" s="128">
        <f>1353.14/1999.98*100</f>
        <v>67.657676576765766</v>
      </c>
      <c r="FA7" s="128">
        <f>176.3/599.98*100</f>
        <v>29.384312810427016</v>
      </c>
      <c r="FB7" s="128">
        <f>1353.14/1999.98*100</f>
        <v>67.657676576765766</v>
      </c>
      <c r="FC7" s="128">
        <v>29.34</v>
      </c>
      <c r="FD7" s="128">
        <f>1353.14/1999.98*100</f>
        <v>67.657676576765766</v>
      </c>
      <c r="FE7" s="128">
        <v>29.34</v>
      </c>
      <c r="FF7" s="128">
        <f>1353.14/1999.98*100</f>
        <v>67.657676576765766</v>
      </c>
      <c r="FG7" s="128">
        <v>29.29</v>
      </c>
      <c r="FH7" s="192"/>
      <c r="FI7" s="193"/>
      <c r="FJ7" s="128">
        <v>67.66</v>
      </c>
      <c r="FK7" s="128">
        <v>29.14</v>
      </c>
      <c r="FL7" s="128">
        <v>67.66</v>
      </c>
      <c r="FM7" s="128">
        <v>29.35</v>
      </c>
      <c r="FN7" s="128">
        <v>67.66</v>
      </c>
      <c r="FO7" s="128">
        <v>29.47</v>
      </c>
      <c r="FP7" s="128">
        <v>67.66</v>
      </c>
      <c r="FQ7" s="128">
        <v>32.96</v>
      </c>
      <c r="FR7" s="128">
        <v>67.66</v>
      </c>
      <c r="FS7" s="128">
        <v>29.48</v>
      </c>
      <c r="FT7" s="192"/>
      <c r="FU7" s="193"/>
      <c r="FV7" s="192"/>
      <c r="FW7" s="193"/>
      <c r="FX7" s="128">
        <v>67.66</v>
      </c>
      <c r="FY7" s="128">
        <v>29.19</v>
      </c>
      <c r="FZ7" s="128">
        <v>67.66</v>
      </c>
      <c r="GA7" s="128">
        <v>29.32</v>
      </c>
      <c r="GB7" s="128">
        <v>67.66</v>
      </c>
      <c r="GC7" s="128">
        <v>29.32</v>
      </c>
      <c r="GD7" s="128">
        <v>67.66</v>
      </c>
      <c r="GE7" s="128">
        <v>29.38</v>
      </c>
      <c r="GF7" s="128">
        <v>67.66</v>
      </c>
      <c r="GG7" s="128">
        <v>29.33</v>
      </c>
      <c r="GH7" s="128"/>
      <c r="GI7" s="128"/>
      <c r="GJ7" s="192"/>
      <c r="GK7" s="193"/>
      <c r="GL7" s="128">
        <v>68.959999999999994</v>
      </c>
      <c r="GM7" s="128">
        <v>26.08</v>
      </c>
      <c r="GN7" s="128">
        <v>68.959999999999994</v>
      </c>
      <c r="GO7" s="128">
        <v>25.97</v>
      </c>
      <c r="GP7" s="27">
        <v>68.959999999999994</v>
      </c>
      <c r="GQ7" s="27">
        <v>26.09</v>
      </c>
      <c r="GR7" s="27">
        <v>68.959999999999994</v>
      </c>
      <c r="GS7" s="27">
        <v>26.09</v>
      </c>
      <c r="GT7" s="27">
        <v>68.959999999999994</v>
      </c>
      <c r="GU7" s="27">
        <v>26.05</v>
      </c>
      <c r="GW7" s="27">
        <v>68.959999999999994</v>
      </c>
      <c r="GX7" s="27">
        <v>26.05</v>
      </c>
      <c r="GY7" s="192"/>
      <c r="GZ7" s="193"/>
      <c r="HA7" s="192"/>
      <c r="HB7" s="193"/>
      <c r="HC7" s="128">
        <v>68.959999999999994</v>
      </c>
      <c r="HD7" s="128">
        <v>26.05</v>
      </c>
      <c r="HE7" s="128"/>
      <c r="HF7" s="128"/>
      <c r="HG7" s="192"/>
      <c r="HH7" s="193"/>
      <c r="HI7" s="192"/>
      <c r="HJ7" s="193"/>
      <c r="HK7" s="128">
        <v>68.959999999999994</v>
      </c>
      <c r="HL7" s="128">
        <v>25.97</v>
      </c>
      <c r="HM7" s="192"/>
      <c r="HN7" s="193"/>
      <c r="HO7" s="128">
        <v>68.959999999999994</v>
      </c>
      <c r="HP7" s="128">
        <v>26.41</v>
      </c>
      <c r="HQ7" s="128">
        <v>68.959999999999994</v>
      </c>
      <c r="HR7" s="128">
        <v>26.41</v>
      </c>
      <c r="HS7" s="128">
        <v>68.959999999999994</v>
      </c>
      <c r="HT7" s="128">
        <v>26.03</v>
      </c>
      <c r="HU7" s="128">
        <v>68.959999999999994</v>
      </c>
      <c r="HV7" s="128">
        <v>26.03</v>
      </c>
      <c r="HW7" s="128">
        <v>68.959999999999994</v>
      </c>
      <c r="HX7" s="128">
        <v>26.03</v>
      </c>
      <c r="HY7" s="128">
        <v>68.959999999999994</v>
      </c>
      <c r="HZ7" s="128">
        <v>25.99</v>
      </c>
      <c r="IA7" s="128">
        <v>68.959999999999994</v>
      </c>
      <c r="IB7" s="128">
        <v>25.99</v>
      </c>
      <c r="IC7" s="128">
        <v>68.959999999999994</v>
      </c>
      <c r="ID7" s="128">
        <v>26.1</v>
      </c>
      <c r="IE7" s="128">
        <v>68.959999999999994</v>
      </c>
      <c r="IF7" s="128">
        <v>26.1</v>
      </c>
      <c r="IG7" s="128">
        <v>68.959999999999994</v>
      </c>
      <c r="IH7" s="128">
        <v>26.1</v>
      </c>
      <c r="II7" s="128">
        <v>68.959999999999994</v>
      </c>
      <c r="IJ7" s="128">
        <v>26.16</v>
      </c>
      <c r="IK7" s="192"/>
      <c r="IL7" s="193"/>
      <c r="IM7" s="128">
        <v>68.959999999999994</v>
      </c>
      <c r="IN7" s="128">
        <v>26.16</v>
      </c>
      <c r="IO7" s="192"/>
      <c r="IP7" s="193"/>
      <c r="IQ7" s="128">
        <v>68.959999999999994</v>
      </c>
      <c r="IR7" s="128">
        <v>26.11</v>
      </c>
      <c r="IS7" s="128">
        <v>68.959999999999994</v>
      </c>
      <c r="IT7" s="128">
        <v>26.11</v>
      </c>
      <c r="IU7" s="128">
        <v>68.959999999999994</v>
      </c>
      <c r="IV7" s="128">
        <v>26.11</v>
      </c>
      <c r="IW7" s="128">
        <v>70.39</v>
      </c>
      <c r="IX7" s="128">
        <v>26.46</v>
      </c>
      <c r="IY7" s="128">
        <v>70.39</v>
      </c>
      <c r="IZ7" s="128">
        <v>26.46</v>
      </c>
      <c r="JA7" s="128">
        <v>70.39</v>
      </c>
      <c r="JB7" s="128">
        <v>25.88</v>
      </c>
      <c r="JC7" s="128"/>
      <c r="JD7" s="128"/>
      <c r="JE7" s="128">
        <v>70.39</v>
      </c>
      <c r="JF7" s="128">
        <v>25.88</v>
      </c>
      <c r="JH7" s="128">
        <v>70.39</v>
      </c>
      <c r="JI7" s="128">
        <v>26.48</v>
      </c>
      <c r="JJ7" s="128">
        <v>70.39</v>
      </c>
      <c r="JK7" s="128">
        <v>26.48</v>
      </c>
      <c r="JL7" s="128">
        <v>70.39</v>
      </c>
      <c r="JM7" s="128">
        <v>26.48</v>
      </c>
      <c r="JN7" s="128">
        <v>70.39</v>
      </c>
      <c r="JO7" s="128">
        <v>26.48</v>
      </c>
      <c r="JP7" s="128">
        <v>70.39</v>
      </c>
      <c r="JQ7" s="128">
        <v>25.97</v>
      </c>
      <c r="JR7" s="186"/>
      <c r="JS7" s="187"/>
      <c r="JT7" s="128">
        <v>70.39</v>
      </c>
      <c r="JU7" s="128">
        <v>25.97</v>
      </c>
      <c r="JV7" s="128">
        <v>70.39</v>
      </c>
      <c r="JW7" s="128">
        <v>26.11</v>
      </c>
      <c r="JX7" s="128">
        <v>70.39</v>
      </c>
      <c r="JY7" s="128">
        <v>26.11</v>
      </c>
      <c r="JZ7" s="128">
        <v>70.39</v>
      </c>
      <c r="KA7" s="128">
        <v>26.11</v>
      </c>
      <c r="KB7" s="128">
        <v>70.39</v>
      </c>
      <c r="KC7" s="128">
        <v>26.11</v>
      </c>
      <c r="KD7" s="128">
        <v>70.39</v>
      </c>
      <c r="KE7" s="128">
        <v>26.11</v>
      </c>
      <c r="KF7" s="186"/>
      <c r="KG7" s="187"/>
      <c r="KH7" s="128">
        <v>70.39</v>
      </c>
      <c r="KI7" s="128">
        <v>26.11</v>
      </c>
      <c r="KJ7" s="128">
        <v>70.39</v>
      </c>
      <c r="KK7" s="128">
        <v>26.11</v>
      </c>
      <c r="KL7" s="128">
        <v>70.39</v>
      </c>
      <c r="KM7" s="128">
        <v>26.13</v>
      </c>
    </row>
    <row r="8" spans="1:305" x14ac:dyDescent="0.3">
      <c r="A8" s="24">
        <v>4</v>
      </c>
      <c r="B8" s="25" t="s">
        <v>12</v>
      </c>
      <c r="C8" s="26" t="s">
        <v>47</v>
      </c>
      <c r="D8" s="213"/>
      <c r="E8" s="27"/>
      <c r="F8" s="216"/>
      <c r="G8" s="27"/>
      <c r="H8" s="53"/>
      <c r="I8" s="61"/>
      <c r="J8" s="27"/>
      <c r="K8" s="62"/>
      <c r="L8" s="56"/>
      <c r="M8" s="27"/>
      <c r="N8" s="62"/>
      <c r="O8" s="61"/>
      <c r="P8" s="27"/>
      <c r="Q8" s="62"/>
      <c r="R8" s="56"/>
      <c r="S8" s="27"/>
      <c r="T8" s="62"/>
      <c r="U8" s="203"/>
      <c r="V8" s="61"/>
      <c r="W8" s="27"/>
      <c r="X8" s="62"/>
      <c r="Y8" s="61"/>
      <c r="Z8" s="56"/>
      <c r="AA8" s="80"/>
      <c r="AB8" s="61"/>
      <c r="AC8" s="56"/>
      <c r="AD8" s="80"/>
      <c r="AE8" s="56"/>
      <c r="AF8" s="56"/>
      <c r="AG8" s="56"/>
      <c r="AH8" s="27"/>
      <c r="AI8" s="27"/>
      <c r="AJ8" s="27"/>
      <c r="AK8" s="27"/>
      <c r="AL8" s="27"/>
      <c r="AM8" s="27"/>
      <c r="AN8" s="186"/>
      <c r="AO8" s="223"/>
      <c r="AP8" s="187"/>
      <c r="AQ8" s="27"/>
      <c r="AR8" s="27"/>
      <c r="AS8" s="27"/>
      <c r="AT8" s="27"/>
      <c r="AU8" s="27"/>
      <c r="AV8" s="27"/>
      <c r="AW8" s="192"/>
      <c r="AX8" s="193"/>
      <c r="AY8" s="196"/>
      <c r="AZ8" s="192"/>
      <c r="BA8" s="193"/>
      <c r="BB8" s="196"/>
      <c r="BC8" s="27"/>
      <c r="BD8" s="27"/>
      <c r="BE8" s="27"/>
      <c r="BF8" s="27"/>
      <c r="BG8" s="27"/>
      <c r="BH8" s="27"/>
      <c r="BI8" s="228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C8" s="53"/>
      <c r="CD8" s="53"/>
      <c r="CE8" s="61"/>
      <c r="CF8" s="27"/>
      <c r="CG8" s="56"/>
      <c r="CH8" s="27"/>
      <c r="CI8" s="61"/>
      <c r="CJ8" s="27"/>
      <c r="CK8" s="53">
        <f>653.9/1023.98*100</f>
        <v>63.858669114631141</v>
      </c>
      <c r="CL8" s="53">
        <f>261.16/599.98*100</f>
        <v>43.528117603920137</v>
      </c>
      <c r="CM8" s="53">
        <f>653.9/1023.98*100</f>
        <v>63.858669114631141</v>
      </c>
      <c r="CN8" s="53">
        <f>288.66/599.98*100</f>
        <v>48.111603720124009</v>
      </c>
      <c r="CO8" s="232"/>
      <c r="CP8" s="233"/>
      <c r="CQ8" s="53">
        <f>653.9/1023.98*100</f>
        <v>63.858669114631141</v>
      </c>
      <c r="CR8" s="53">
        <f>288.66/599.98*100</f>
        <v>48.111603720124009</v>
      </c>
      <c r="CS8" s="53">
        <f>653.9/1023.98*100</f>
        <v>63.858669114631141</v>
      </c>
      <c r="CT8" s="53">
        <f>288.66/599.98*100</f>
        <v>48.111603720124009</v>
      </c>
      <c r="CU8" s="53">
        <f>653.9/1023.98*100</f>
        <v>63.858669114631141</v>
      </c>
      <c r="CV8" s="53">
        <f>288.73/599.98*100</f>
        <v>48.123270775692525</v>
      </c>
      <c r="CW8" s="53">
        <f>653.9/1023.98*100</f>
        <v>63.858669114631141</v>
      </c>
      <c r="CX8" s="53">
        <f>288.73/599.98*100</f>
        <v>48.123270775692525</v>
      </c>
      <c r="CY8" s="53">
        <f>653.9/1023.98*100</f>
        <v>63.858669114631141</v>
      </c>
      <c r="CZ8" s="53">
        <f>288.73/599.98*100</f>
        <v>48.123270775692525</v>
      </c>
      <c r="DA8" s="192"/>
      <c r="DB8" s="193"/>
      <c r="DC8" s="192"/>
      <c r="DD8" s="193"/>
      <c r="DE8" s="53">
        <f>653.9/1023.98*100</f>
        <v>63.858669114631141</v>
      </c>
      <c r="DF8" s="53">
        <f>288.73/599.98*100</f>
        <v>48.123270775692525</v>
      </c>
      <c r="DG8" s="53">
        <f>654.27/1023.98*100</f>
        <v>63.894802632863922</v>
      </c>
      <c r="DH8" s="53">
        <f>288.73/599.98*100</f>
        <v>48.123270775692525</v>
      </c>
      <c r="DI8" s="53">
        <f>654.71/1023.98*100</f>
        <v>63.937772222113722</v>
      </c>
      <c r="DJ8" s="53">
        <f>288.73/599.98*100</f>
        <v>48.123270775692525</v>
      </c>
      <c r="DK8" s="53">
        <f>654.71/1023.98*100</f>
        <v>63.937772222113722</v>
      </c>
      <c r="DL8" s="53">
        <f>168.1/599.98*100</f>
        <v>28.017600586686221</v>
      </c>
      <c r="DM8" s="53">
        <f>655.3/1023.98*100</f>
        <v>63.995390534971385</v>
      </c>
      <c r="DN8" s="53">
        <f>232.98/599.98*100</f>
        <v>38.831294376479214</v>
      </c>
      <c r="DO8" s="128">
        <f>655.54/1023.98*100</f>
        <v>64.018828492743992</v>
      </c>
      <c r="DP8" s="128">
        <f>232.98/599.98*100</f>
        <v>38.831294376479214</v>
      </c>
      <c r="DQ8" s="192"/>
      <c r="DR8" s="193"/>
      <c r="DS8" s="128">
        <f>655.8/1023.98*100</f>
        <v>64.044219613664325</v>
      </c>
      <c r="DT8" s="128">
        <f>232.98/599.98*100</f>
        <v>38.831294376479214</v>
      </c>
      <c r="DU8" s="128">
        <f>655.8/1023.98*100</f>
        <v>64.044219613664325</v>
      </c>
      <c r="DV8" s="128">
        <f>232.98/599.98*100</f>
        <v>38.831294376479214</v>
      </c>
      <c r="DW8" s="192"/>
      <c r="DX8" s="193"/>
      <c r="DY8" s="128">
        <f>656.71/1023.98*100</f>
        <v>64.133088536885481</v>
      </c>
      <c r="DZ8" s="128">
        <f>233.04/599.98*100</f>
        <v>38.841294709823657</v>
      </c>
      <c r="EA8" s="128">
        <f>656.94/1023.98*100</f>
        <v>64.155549913084243</v>
      </c>
      <c r="EB8" s="128">
        <f>233.04/599.98*100</f>
        <v>38.841294709823657</v>
      </c>
      <c r="EC8" s="128">
        <f>657.17/1023.98*100</f>
        <v>64.178011289282992</v>
      </c>
      <c r="ED8" s="128">
        <f>233.04/599.98*100</f>
        <v>38.841294709823657</v>
      </c>
      <c r="EE8" s="192"/>
      <c r="EF8" s="193"/>
      <c r="EG8" s="27"/>
      <c r="EH8" s="27"/>
      <c r="EI8" s="128">
        <f>657.7/1023.98*100</f>
        <v>64.229770112697508</v>
      </c>
      <c r="EJ8" s="128">
        <f>233.29/599.98*100</f>
        <v>38.882962765425511</v>
      </c>
      <c r="EL8" s="53"/>
      <c r="EM8" s="53"/>
      <c r="EN8" s="192"/>
      <c r="EO8" s="193"/>
      <c r="EP8" s="128">
        <f>658.55/1023.98*100</f>
        <v>64.312779546475511</v>
      </c>
      <c r="EQ8" s="128">
        <f>233.29/599.98*100</f>
        <v>38.882962765425511</v>
      </c>
      <c r="ER8" s="128">
        <f>658.55/1023.98*100</f>
        <v>64.312779546475511</v>
      </c>
      <c r="ES8" s="128">
        <f>233.29/599.98*100</f>
        <v>38.882962765425511</v>
      </c>
      <c r="ET8" s="192"/>
      <c r="EU8" s="193"/>
      <c r="EV8" s="128">
        <f>659.02/1023.98*100</f>
        <v>64.358678880446888</v>
      </c>
      <c r="EW8" s="128">
        <f>233.29/599.98*100</f>
        <v>38.882962765425511</v>
      </c>
      <c r="EX8" s="128">
        <f>660.33/1023.98*100</f>
        <v>64.486611066622402</v>
      </c>
      <c r="EY8" s="128">
        <f>233.66/599.98*100</f>
        <v>38.944631487716258</v>
      </c>
      <c r="EZ8" s="128">
        <f>660.52/1023.98*100</f>
        <v>64.505166116525714</v>
      </c>
      <c r="FA8" s="128">
        <f>233.66/599.98*100</f>
        <v>38.944631487716258</v>
      </c>
      <c r="FB8" s="128">
        <v>64.53</v>
      </c>
      <c r="FC8" s="128">
        <v>38.950000000000003</v>
      </c>
      <c r="FD8" s="128">
        <v>64.55</v>
      </c>
      <c r="FE8" s="128">
        <v>38.950000000000003</v>
      </c>
      <c r="FF8" s="128">
        <v>64.58</v>
      </c>
      <c r="FG8" s="128">
        <v>38.950000000000003</v>
      </c>
      <c r="FH8" s="192"/>
      <c r="FI8" s="193"/>
      <c r="FJ8" s="128">
        <v>64.61</v>
      </c>
      <c r="FK8" s="128">
        <v>38.950000000000003</v>
      </c>
      <c r="FL8" s="128">
        <v>64.61</v>
      </c>
      <c r="FM8" s="128">
        <v>38.950000000000003</v>
      </c>
      <c r="FN8" s="128">
        <v>64.650000000000006</v>
      </c>
      <c r="FO8" s="128">
        <v>38.950000000000003</v>
      </c>
      <c r="FP8" s="128">
        <v>65.98</v>
      </c>
      <c r="FQ8" s="128">
        <v>38.950000000000003</v>
      </c>
      <c r="FR8" s="128">
        <v>65.98</v>
      </c>
      <c r="FS8" s="128">
        <v>38.950000000000003</v>
      </c>
      <c r="FT8" s="192"/>
      <c r="FU8" s="193"/>
      <c r="FV8" s="192"/>
      <c r="FW8" s="193"/>
      <c r="FX8" s="128">
        <v>65.98</v>
      </c>
      <c r="FY8" s="128">
        <v>38.950000000000003</v>
      </c>
      <c r="FZ8" s="128">
        <v>65.98</v>
      </c>
      <c r="GA8" s="128">
        <v>38.950000000000003</v>
      </c>
      <c r="GB8" s="128">
        <v>65.98</v>
      </c>
      <c r="GC8" s="128">
        <v>38.96</v>
      </c>
      <c r="GD8" s="128">
        <v>65.98</v>
      </c>
      <c r="GE8" s="128">
        <v>38.96</v>
      </c>
      <c r="GF8" s="128">
        <v>65.98</v>
      </c>
      <c r="GG8" s="128">
        <v>38.96</v>
      </c>
      <c r="GH8" s="128"/>
      <c r="GI8" s="128"/>
      <c r="GJ8" s="192"/>
      <c r="GK8" s="193"/>
      <c r="GL8" s="128">
        <v>68.52</v>
      </c>
      <c r="GM8" s="128">
        <v>40.21</v>
      </c>
      <c r="GN8" s="128">
        <v>68.52</v>
      </c>
      <c r="GO8" s="128">
        <v>40.21</v>
      </c>
      <c r="GP8" s="27">
        <v>68.52</v>
      </c>
      <c r="GQ8" s="27">
        <v>40.22</v>
      </c>
      <c r="GR8" s="27">
        <v>68.52</v>
      </c>
      <c r="GS8" s="27">
        <v>40.22</v>
      </c>
      <c r="GT8" s="27">
        <v>68.52</v>
      </c>
      <c r="GU8" s="27">
        <v>40.22</v>
      </c>
      <c r="GW8" s="27">
        <v>68.52</v>
      </c>
      <c r="GX8" s="27">
        <v>40.22</v>
      </c>
      <c r="GY8" s="192"/>
      <c r="GZ8" s="193"/>
      <c r="HA8" s="192"/>
      <c r="HB8" s="193"/>
      <c r="HC8" s="128">
        <v>68.52</v>
      </c>
      <c r="HD8" s="128">
        <v>40.229999999999997</v>
      </c>
      <c r="HE8" s="128"/>
      <c r="HF8" s="128"/>
      <c r="HG8" s="192"/>
      <c r="HH8" s="193"/>
      <c r="HI8" s="192"/>
      <c r="HJ8" s="193"/>
      <c r="HK8" s="128">
        <v>68.52</v>
      </c>
      <c r="HL8" s="128">
        <v>40.229999999999997</v>
      </c>
      <c r="HM8" s="192"/>
      <c r="HN8" s="193"/>
      <c r="HO8" s="128">
        <v>68.52</v>
      </c>
      <c r="HP8" s="128">
        <v>40.26</v>
      </c>
      <c r="HQ8" s="128">
        <v>68.52</v>
      </c>
      <c r="HR8" s="128">
        <v>40.26</v>
      </c>
      <c r="HS8" s="128">
        <v>68.52</v>
      </c>
      <c r="HT8" s="128">
        <v>40.26</v>
      </c>
      <c r="HU8" s="128">
        <v>68.52</v>
      </c>
      <c r="HV8" s="128">
        <v>40.26</v>
      </c>
      <c r="HW8" s="128">
        <v>68.52</v>
      </c>
      <c r="HX8" s="128">
        <v>40.26</v>
      </c>
      <c r="HY8" s="128">
        <v>68.52</v>
      </c>
      <c r="HZ8" s="128">
        <v>40.26</v>
      </c>
      <c r="IA8" s="128">
        <v>68.52</v>
      </c>
      <c r="IB8" s="128">
        <v>40.26</v>
      </c>
      <c r="IC8" s="128">
        <v>68.52</v>
      </c>
      <c r="ID8" s="128">
        <v>40.270000000000003</v>
      </c>
      <c r="IE8" s="128">
        <v>68.52</v>
      </c>
      <c r="IF8" s="128">
        <v>40.270000000000003</v>
      </c>
      <c r="IG8" s="128">
        <v>68.52</v>
      </c>
      <c r="IH8" s="128">
        <v>40.270000000000003</v>
      </c>
      <c r="II8" s="128">
        <v>68.52</v>
      </c>
      <c r="IJ8" s="128">
        <v>40.270000000000003</v>
      </c>
      <c r="IK8" s="192"/>
      <c r="IL8" s="193"/>
      <c r="IM8" s="128">
        <v>68.52</v>
      </c>
      <c r="IN8" s="128">
        <v>40.270000000000003</v>
      </c>
      <c r="IO8" s="192"/>
      <c r="IP8" s="193"/>
      <c r="IQ8" s="128">
        <v>68.52</v>
      </c>
      <c r="IR8" s="128">
        <v>40.270000000000003</v>
      </c>
      <c r="IS8" s="128">
        <v>68.52</v>
      </c>
      <c r="IT8" s="128">
        <v>40.270000000000003</v>
      </c>
      <c r="IU8" s="128">
        <v>68.52</v>
      </c>
      <c r="IV8" s="128">
        <v>40.270000000000003</v>
      </c>
      <c r="IW8" s="128">
        <v>68.52</v>
      </c>
      <c r="IX8" s="128">
        <v>40.270000000000003</v>
      </c>
      <c r="IY8" s="128">
        <v>68.52</v>
      </c>
      <c r="IZ8" s="128">
        <v>40.270000000000003</v>
      </c>
      <c r="JA8" s="128">
        <v>68.52</v>
      </c>
      <c r="JB8" s="128">
        <v>40.29</v>
      </c>
      <c r="JC8" s="128"/>
      <c r="JD8" s="128"/>
      <c r="JE8" s="128">
        <v>68.52</v>
      </c>
      <c r="JF8" s="128">
        <v>40.29</v>
      </c>
      <c r="JH8" s="128">
        <v>68.52</v>
      </c>
      <c r="JI8" s="128">
        <v>40.29</v>
      </c>
      <c r="JJ8" s="128">
        <v>68.52</v>
      </c>
      <c r="JK8" s="128">
        <v>40.29</v>
      </c>
      <c r="JL8" s="128">
        <v>68.52</v>
      </c>
      <c r="JM8" s="128">
        <v>40.29</v>
      </c>
      <c r="JN8" s="128">
        <v>68.52</v>
      </c>
      <c r="JO8" s="128">
        <v>40.29</v>
      </c>
      <c r="JP8" s="128">
        <v>68.52</v>
      </c>
      <c r="JQ8" s="128">
        <v>40.29</v>
      </c>
      <c r="JR8" s="186"/>
      <c r="JS8" s="187"/>
      <c r="JT8" s="128">
        <v>68.52</v>
      </c>
      <c r="JU8" s="128">
        <v>40.29</v>
      </c>
      <c r="JV8" s="128">
        <v>68.52</v>
      </c>
      <c r="JW8" s="128">
        <v>40.29</v>
      </c>
      <c r="JX8" s="128">
        <v>68.52</v>
      </c>
      <c r="JY8" s="128">
        <v>40.29</v>
      </c>
      <c r="JZ8" s="128">
        <v>68.52</v>
      </c>
      <c r="KA8" s="128">
        <v>40.29</v>
      </c>
      <c r="KB8" s="128">
        <v>68.52</v>
      </c>
      <c r="KC8" s="128">
        <v>40.29</v>
      </c>
      <c r="KD8" s="128">
        <v>68.52</v>
      </c>
      <c r="KE8" s="128">
        <v>40.29</v>
      </c>
      <c r="KF8" s="186"/>
      <c r="KG8" s="187"/>
      <c r="KH8" s="128">
        <v>68.52</v>
      </c>
      <c r="KI8" s="128">
        <v>40.29</v>
      </c>
      <c r="KJ8" s="128">
        <v>68.52</v>
      </c>
      <c r="KK8" s="128">
        <v>40.29</v>
      </c>
      <c r="KL8" s="128">
        <v>68.52</v>
      </c>
      <c r="KM8" s="128">
        <v>40.299999999999997</v>
      </c>
    </row>
    <row r="9" spans="1:305" x14ac:dyDescent="0.3">
      <c r="A9" s="24">
        <v>5</v>
      </c>
      <c r="B9" s="25" t="s">
        <v>13</v>
      </c>
      <c r="C9" s="26" t="s">
        <v>47</v>
      </c>
      <c r="D9" s="213"/>
      <c r="E9" s="14">
        <f>598654.66+732356.11</f>
        <v>1331010.77</v>
      </c>
      <c r="F9" s="216"/>
      <c r="G9" s="14">
        <f>598654.66+752058.11</f>
        <v>1350712.77</v>
      </c>
      <c r="H9" s="72">
        <f>598654.66+758382.11</f>
        <v>1357036.77</v>
      </c>
      <c r="I9" s="45">
        <f>598654.66+778094.11</f>
        <v>1376748.77</v>
      </c>
      <c r="J9" s="22">
        <v>0.57089999999999996</v>
      </c>
      <c r="K9" s="60">
        <v>0.74209999999999998</v>
      </c>
      <c r="L9" s="55">
        <f>598654.66+797194.11</f>
        <v>1395848.77</v>
      </c>
      <c r="M9" s="22">
        <v>0.57089999999999996</v>
      </c>
      <c r="N9" s="60">
        <v>0.76029999999999998</v>
      </c>
      <c r="O9" s="45">
        <f>598654.66+803474.11</f>
        <v>1402128.77</v>
      </c>
      <c r="P9" s="22">
        <v>0.57089999999999996</v>
      </c>
      <c r="Q9" s="60">
        <v>0.76629999999999998</v>
      </c>
      <c r="R9" s="55">
        <f>598654.66+814294.11</f>
        <v>1412948.77</v>
      </c>
      <c r="S9" s="22">
        <v>0.57089999999999996</v>
      </c>
      <c r="T9" s="60">
        <v>0.77659999999999996</v>
      </c>
      <c r="U9" s="203"/>
      <c r="V9" s="45">
        <f>598654.66+833784.11</f>
        <v>1432438.77</v>
      </c>
      <c r="W9" s="22">
        <v>0.57089999999999996</v>
      </c>
      <c r="X9" s="60">
        <v>0.79520000000000002</v>
      </c>
      <c r="Y9" s="45">
        <f>598654.66+841524.11</f>
        <v>1440178.77</v>
      </c>
      <c r="Z9" s="77">
        <v>0.57089999999999996</v>
      </c>
      <c r="AA9" s="79">
        <v>0.80259999999999998</v>
      </c>
      <c r="AB9" s="45">
        <f>598654.66+586584.11</f>
        <v>1185238.77</v>
      </c>
      <c r="AC9" s="77">
        <v>0.57089999999999996</v>
      </c>
      <c r="AD9" s="79">
        <v>0.81689999999999996</v>
      </c>
      <c r="AE9" s="55">
        <f>598654.66+866514.11</f>
        <v>1465168.77</v>
      </c>
      <c r="AF9" s="77">
        <v>0.57089999999999996</v>
      </c>
      <c r="AG9" s="77">
        <v>0.82640000000000002</v>
      </c>
      <c r="AH9" s="14">
        <f>598654.66+881214.11</f>
        <v>1479868.77</v>
      </c>
      <c r="AI9" s="22">
        <v>0.57089999999999996</v>
      </c>
      <c r="AJ9" s="51">
        <v>0.84040000000000004</v>
      </c>
      <c r="AK9" s="14">
        <f>569637+917081</f>
        <v>1486718</v>
      </c>
      <c r="AL9" s="22">
        <v>0.57089999999999996</v>
      </c>
      <c r="AM9" s="51">
        <v>0.84940000000000004</v>
      </c>
      <c r="AN9" s="186"/>
      <c r="AO9" s="223"/>
      <c r="AP9" s="187"/>
      <c r="AQ9" s="14">
        <f>598654.66+909354.11</f>
        <v>1508008.77</v>
      </c>
      <c r="AR9" s="22">
        <v>0.57089999999999996</v>
      </c>
      <c r="AS9" s="51">
        <v>0.86719999999999997</v>
      </c>
      <c r="AT9" s="14">
        <f>598654.66+916754.11</f>
        <v>1515408.77</v>
      </c>
      <c r="AU9" s="22">
        <v>0.57089999999999996</v>
      </c>
      <c r="AV9" s="51">
        <v>0.87429999999999997</v>
      </c>
      <c r="AW9" s="192"/>
      <c r="AX9" s="193"/>
      <c r="AY9" s="196"/>
      <c r="AZ9" s="192"/>
      <c r="BA9" s="193"/>
      <c r="BB9" s="196"/>
      <c r="BC9" s="14">
        <f>569637+681011</f>
        <v>1250648</v>
      </c>
      <c r="BD9" s="22">
        <v>0.57089999999999996</v>
      </c>
      <c r="BE9" s="51">
        <v>0.9103</v>
      </c>
      <c r="BF9" s="14">
        <f>598654.66+968834.11</f>
        <v>1567488.77</v>
      </c>
      <c r="BG9" s="22">
        <v>0.57089999999999996</v>
      </c>
      <c r="BH9" s="51">
        <v>0.92400000000000004</v>
      </c>
      <c r="BI9" s="228"/>
      <c r="BJ9" s="14">
        <f>598654.66+982694.11</f>
        <v>1581348.77</v>
      </c>
      <c r="BK9" s="22">
        <v>0.57089999999999996</v>
      </c>
      <c r="BL9" s="51">
        <v>0.93720000000000003</v>
      </c>
      <c r="BM9" s="14">
        <f>598654.66+992734.11</f>
        <v>1591388.77</v>
      </c>
      <c r="BN9" s="22">
        <v>0.57089999999999996</v>
      </c>
      <c r="BO9" s="51">
        <v>0.94679999999999997</v>
      </c>
      <c r="BP9" s="14">
        <f>598654.66+1002294.11</f>
        <v>1600948.77</v>
      </c>
      <c r="BQ9" s="22">
        <v>0.57089999999999996</v>
      </c>
      <c r="BR9" s="51">
        <v>0.95589999999999997</v>
      </c>
      <c r="BS9" s="14">
        <f>598654.66+277719.11</f>
        <v>876373.77</v>
      </c>
      <c r="BT9" s="22">
        <v>0.57089999999999996</v>
      </c>
      <c r="BU9" s="100">
        <v>0.26490000000000002</v>
      </c>
      <c r="BV9" s="14">
        <f>598654.66+288059.11</f>
        <v>886713.77</v>
      </c>
      <c r="BW9" s="22">
        <v>0.57089999999999996</v>
      </c>
      <c r="BX9" s="100">
        <v>0.2747</v>
      </c>
      <c r="BY9" s="14">
        <f>598654.66+298629.11</f>
        <v>897283.77</v>
      </c>
      <c r="BZ9" s="22">
        <v>0.57089999999999996</v>
      </c>
      <c r="CA9" s="100">
        <v>0.2848</v>
      </c>
      <c r="CC9" s="72">
        <f>584.62/1023.98*100</f>
        <v>57.092911970936932</v>
      </c>
      <c r="CD9" s="72">
        <f>309.66/1023.98*100</f>
        <v>30.240825016113597</v>
      </c>
      <c r="CE9" s="72">
        <f>584.62/1023.98*100</f>
        <v>57.092911970936932</v>
      </c>
      <c r="CF9" s="72">
        <f>321.49/1023.98*100</f>
        <v>31.396121017988634</v>
      </c>
      <c r="CG9" s="72">
        <f>584.62/1023.98*100</f>
        <v>57.092911970936932</v>
      </c>
      <c r="CH9" s="72">
        <f>331.69/1023.98*100</f>
        <v>32.392234223324671</v>
      </c>
      <c r="CI9" s="72">
        <f>584.62/1023.98*100</f>
        <v>57.092911970936932</v>
      </c>
      <c r="CJ9" s="72">
        <f>346.24/1023.98*100</f>
        <v>33.813160413289324</v>
      </c>
      <c r="CK9" s="72">
        <f>584.62/1023.98*100</f>
        <v>57.092911970936932</v>
      </c>
      <c r="CL9" s="72">
        <f>348.13/1023.98*100</f>
        <v>33.997734330748649</v>
      </c>
      <c r="CM9" s="72">
        <f>584.62/1023.98*100</f>
        <v>57.092911970936932</v>
      </c>
      <c r="CN9" s="72">
        <f>361.75/1023.98*100</f>
        <v>35.327838434344422</v>
      </c>
      <c r="CO9" s="232"/>
      <c r="CP9" s="233"/>
      <c r="CQ9" s="72">
        <f>584.62/1023.98*100</f>
        <v>57.092911970936932</v>
      </c>
      <c r="CR9" s="72">
        <f>372.59/1023.98*100</f>
        <v>36.386452860407424</v>
      </c>
      <c r="CS9" s="72">
        <f>584.62/1023.98*100</f>
        <v>57.092911970936932</v>
      </c>
      <c r="CT9" s="72">
        <f>383.63/1023.98*100</f>
        <v>37.464598917947619</v>
      </c>
      <c r="CU9" s="72">
        <f>584.62/1023.98*100</f>
        <v>57.092911970936932</v>
      </c>
      <c r="CV9" s="72">
        <f>395.63/1023.98*100</f>
        <v>38.636496806578251</v>
      </c>
      <c r="CW9" s="72">
        <f>584.62/1023.98*100</f>
        <v>57.092911970936932</v>
      </c>
      <c r="CX9" s="72">
        <f>411.12/1023.98*100</f>
        <v>40.149221664485637</v>
      </c>
      <c r="CY9" s="72">
        <f>584.62/1023.98*100</f>
        <v>57.092911970936932</v>
      </c>
      <c r="CZ9" s="72">
        <f>416.93/1023.98*100</f>
        <v>40.716615558897637</v>
      </c>
      <c r="DA9" s="192"/>
      <c r="DB9" s="193"/>
      <c r="DC9" s="192"/>
      <c r="DD9" s="193"/>
      <c r="DE9" s="53">
        <f>560.58/999.98*100</f>
        <v>56.059121182423652</v>
      </c>
      <c r="DF9" s="53">
        <f>119.67/349.98*100</f>
        <v>34.193382478998799</v>
      </c>
      <c r="DG9" s="53">
        <f>561.33/999.98*100</f>
        <v>56.134122682453658</v>
      </c>
      <c r="DH9" s="53">
        <f>137.25/349.98*100</f>
        <v>39.216526658666204</v>
      </c>
      <c r="DI9" s="53">
        <f>562.39/999.98*100</f>
        <v>56.240124802496048</v>
      </c>
      <c r="DJ9" s="53">
        <f>39.99/349.98*100</f>
        <v>11.426367220984055</v>
      </c>
      <c r="DK9" s="53">
        <f>562.83/999.98*100</f>
        <v>56.284125682513654</v>
      </c>
      <c r="DL9" s="53">
        <f>39.99/349.98*100</f>
        <v>11.426367220984055</v>
      </c>
      <c r="DM9" s="53">
        <f>563.89/999.98*100</f>
        <v>56.390127802556044</v>
      </c>
      <c r="DN9" s="53">
        <f>39.99/349.98*100</f>
        <v>11.426367220984055</v>
      </c>
      <c r="DO9" s="128">
        <f>564.77/999.98*100</f>
        <v>56.478129562591249</v>
      </c>
      <c r="DP9" s="128">
        <f>40.55/349.98*100</f>
        <v>11.586376364363677</v>
      </c>
      <c r="DQ9" s="192"/>
      <c r="DR9" s="193"/>
      <c r="DS9" s="128">
        <f>565.71/999.98*100</f>
        <v>56.572131442628859</v>
      </c>
      <c r="DT9" s="128">
        <f>41.12/349.98*100</f>
        <v>11.749242813875076</v>
      </c>
      <c r="DU9" s="128">
        <f>564.9/999.98*100</f>
        <v>56.491129822596456</v>
      </c>
      <c r="DV9" s="128">
        <f>41.12/340.98*100</f>
        <v>12.059358320136077</v>
      </c>
      <c r="DW9" s="192"/>
      <c r="DX9" s="193"/>
      <c r="DY9" s="128">
        <f>568.14/999.98*100</f>
        <v>56.815136302726053</v>
      </c>
      <c r="DZ9" s="128">
        <f>46.37/340.98*100</f>
        <v>13.599038066748781</v>
      </c>
      <c r="EA9" s="128">
        <f>568.89/999.98*100</f>
        <v>56.890137802756058</v>
      </c>
      <c r="EB9" s="128">
        <f>46.43/340.98*100</f>
        <v>13.616634406710071</v>
      </c>
      <c r="EC9" s="128">
        <f>569.71/999.98*100</f>
        <v>56.972139442788858</v>
      </c>
      <c r="ED9" s="128">
        <f>46.43/340.98*100</f>
        <v>13.616634406710071</v>
      </c>
      <c r="EE9" s="192"/>
      <c r="EF9" s="193"/>
      <c r="EG9" s="14"/>
      <c r="EH9" s="22"/>
      <c r="EI9" s="128">
        <f>571.58/999.98*100</f>
        <v>57.159143182863659</v>
      </c>
      <c r="EJ9" s="128">
        <f>46.87/340.98*100</f>
        <v>13.745674233092847</v>
      </c>
      <c r="EL9" s="72"/>
      <c r="EM9" s="72"/>
      <c r="EN9" s="192"/>
      <c r="EO9" s="193"/>
      <c r="EP9" s="128">
        <f>574.27/999.98*100</f>
        <v>57.428148562971259</v>
      </c>
      <c r="EQ9" s="128">
        <f>46.93/340.98*100</f>
        <v>13.763270573054138</v>
      </c>
      <c r="ER9" s="128">
        <f>488.64/999.98*100</f>
        <v>48.864977299545984</v>
      </c>
      <c r="ES9" s="128">
        <f>23.93/340.98*100</f>
        <v>7.0180069212270508</v>
      </c>
      <c r="ET9" s="192"/>
      <c r="EU9" s="193"/>
      <c r="EV9" s="128">
        <f>576.96/999.98*100</f>
        <v>57.69715394307886</v>
      </c>
      <c r="EW9" s="128">
        <f>46.99/340.98*100</f>
        <v>13.780866913015426</v>
      </c>
      <c r="EX9" s="128">
        <f>578.08/999.98*100</f>
        <v>57.809156183123669</v>
      </c>
      <c r="EY9" s="128">
        <f>46.99/340.98*100</f>
        <v>13.780866913015426</v>
      </c>
      <c r="EZ9" s="128">
        <f>579.08/999.98*100</f>
        <v>57.909158183163669</v>
      </c>
      <c r="FA9" s="128">
        <f>46.99/340.98*100</f>
        <v>13.780866913015426</v>
      </c>
      <c r="FB9" s="128">
        <f>579.08/999.98*100</f>
        <v>57.909158183163669</v>
      </c>
      <c r="FC9" s="128">
        <f>46.99/340.98*100</f>
        <v>13.780866913015426</v>
      </c>
      <c r="FD9" s="128">
        <v>58.13</v>
      </c>
      <c r="FE9" s="128">
        <v>13.43</v>
      </c>
      <c r="FF9" s="128">
        <v>58.25</v>
      </c>
      <c r="FG9" s="128">
        <v>13.43</v>
      </c>
      <c r="FH9" s="192"/>
      <c r="FI9" s="193"/>
      <c r="FJ9" s="128">
        <v>58.25</v>
      </c>
      <c r="FK9" s="128">
        <v>13.43</v>
      </c>
      <c r="FL9" s="128">
        <v>58.25</v>
      </c>
      <c r="FM9" s="128">
        <v>13.43</v>
      </c>
      <c r="FN9" s="128">
        <v>58.67</v>
      </c>
      <c r="FO9" s="128">
        <v>13.43</v>
      </c>
      <c r="FP9" s="128">
        <v>63.03</v>
      </c>
      <c r="FQ9" s="128">
        <v>13.8</v>
      </c>
      <c r="FR9" s="128">
        <v>63.03</v>
      </c>
      <c r="FS9" s="128">
        <v>13.8</v>
      </c>
      <c r="FT9" s="192"/>
      <c r="FU9" s="193"/>
      <c r="FV9" s="192"/>
      <c r="FW9" s="193"/>
      <c r="FX9" s="128">
        <v>63.03</v>
      </c>
      <c r="FY9" s="128">
        <v>13.8</v>
      </c>
      <c r="FZ9" s="128">
        <v>63.03</v>
      </c>
      <c r="GA9" s="128">
        <v>13.8</v>
      </c>
      <c r="GB9" s="128">
        <v>63.03</v>
      </c>
      <c r="GC9" s="128">
        <v>13.8</v>
      </c>
      <c r="GD9" s="128">
        <v>63.14</v>
      </c>
      <c r="GE9" s="128">
        <v>13.8</v>
      </c>
      <c r="GF9" s="128">
        <v>63.27</v>
      </c>
      <c r="GG9" s="128">
        <v>13.8</v>
      </c>
      <c r="GH9" s="128"/>
      <c r="GI9" s="128"/>
      <c r="GJ9" s="192"/>
      <c r="GK9" s="193"/>
      <c r="GL9" s="128">
        <v>69.16</v>
      </c>
      <c r="GM9" s="128">
        <v>55.6</v>
      </c>
      <c r="GN9" s="128">
        <v>69.36</v>
      </c>
      <c r="GO9" s="128">
        <v>55.6</v>
      </c>
      <c r="GP9" s="128">
        <v>69.86</v>
      </c>
      <c r="GQ9" s="128">
        <v>55.6</v>
      </c>
      <c r="GR9" s="128">
        <v>69.86</v>
      </c>
      <c r="GS9" s="128">
        <v>55.6</v>
      </c>
      <c r="GT9" s="128">
        <v>70.16</v>
      </c>
      <c r="GU9" s="128">
        <v>55.6</v>
      </c>
      <c r="GW9" s="128">
        <v>70.16</v>
      </c>
      <c r="GX9" s="128">
        <v>55.6</v>
      </c>
      <c r="GY9" s="192"/>
      <c r="GZ9" s="193"/>
      <c r="HA9" s="192"/>
      <c r="HB9" s="193"/>
      <c r="HC9" s="128">
        <v>70.73</v>
      </c>
      <c r="HD9" s="128">
        <v>55.6</v>
      </c>
      <c r="HE9" s="128"/>
      <c r="HF9" s="128"/>
      <c r="HG9" s="192"/>
      <c r="HH9" s="193"/>
      <c r="HI9" s="192"/>
      <c r="HJ9" s="193"/>
      <c r="HK9" s="128">
        <v>71.58</v>
      </c>
      <c r="HL9" s="128">
        <v>55.66</v>
      </c>
      <c r="HM9" s="192"/>
      <c r="HN9" s="193"/>
      <c r="HO9" s="128">
        <v>72.16</v>
      </c>
      <c r="HP9" s="128">
        <v>55.89</v>
      </c>
      <c r="HQ9" s="128">
        <v>72.16</v>
      </c>
      <c r="HR9" s="128">
        <v>55.89</v>
      </c>
      <c r="HS9" s="128">
        <v>72.41</v>
      </c>
      <c r="HT9" s="128">
        <v>55.66</v>
      </c>
      <c r="HU9" s="128">
        <v>72.66</v>
      </c>
      <c r="HV9" s="128">
        <v>55.66</v>
      </c>
      <c r="HW9" s="128">
        <v>72.66</v>
      </c>
      <c r="HX9" s="128">
        <v>55.66</v>
      </c>
      <c r="HY9" s="128">
        <v>73.349999999999994</v>
      </c>
      <c r="HZ9" s="128">
        <v>55.66</v>
      </c>
      <c r="IA9" s="128">
        <v>73.349999999999994</v>
      </c>
      <c r="IB9" s="128">
        <v>55.66</v>
      </c>
      <c r="IC9" s="128">
        <v>73.98</v>
      </c>
      <c r="ID9" s="128">
        <v>55.67</v>
      </c>
      <c r="IE9" s="128">
        <v>73.98</v>
      </c>
      <c r="IF9" s="128">
        <v>55.67</v>
      </c>
      <c r="IG9" s="128">
        <v>73.98</v>
      </c>
      <c r="IH9" s="128">
        <v>55.67</v>
      </c>
      <c r="II9" s="128">
        <v>74.06</v>
      </c>
      <c r="IJ9" s="128">
        <v>55.67</v>
      </c>
      <c r="IK9" s="192"/>
      <c r="IL9" s="193"/>
      <c r="IM9" s="128">
        <v>74.06</v>
      </c>
      <c r="IN9" s="128">
        <v>55.67</v>
      </c>
      <c r="IO9" s="192"/>
      <c r="IP9" s="193"/>
      <c r="IQ9" s="128">
        <v>75.61</v>
      </c>
      <c r="IR9" s="128">
        <v>55.67</v>
      </c>
      <c r="IS9" s="128">
        <v>75.61</v>
      </c>
      <c r="IT9" s="128">
        <v>55.67</v>
      </c>
      <c r="IU9" s="128">
        <v>75.61</v>
      </c>
      <c r="IV9" s="128">
        <v>55.67</v>
      </c>
      <c r="IW9" s="128">
        <v>77.459999999999994</v>
      </c>
      <c r="IX9" s="128">
        <v>55.67</v>
      </c>
      <c r="IY9" s="128">
        <v>77.459999999999994</v>
      </c>
      <c r="IZ9" s="128">
        <v>55.67</v>
      </c>
      <c r="JA9" s="128">
        <v>78.290000000000006</v>
      </c>
      <c r="JB9" s="128">
        <v>55.67</v>
      </c>
      <c r="JC9" s="128"/>
      <c r="JD9" s="128"/>
      <c r="JE9" s="128">
        <v>78.290000000000006</v>
      </c>
      <c r="JF9" s="128">
        <v>55.67</v>
      </c>
      <c r="JH9" s="128">
        <v>79.36</v>
      </c>
      <c r="JI9" s="128">
        <v>55.67</v>
      </c>
      <c r="JJ9" s="128">
        <v>79.36</v>
      </c>
      <c r="JK9" s="128">
        <v>55.67</v>
      </c>
      <c r="JL9" s="128">
        <v>79.36</v>
      </c>
      <c r="JM9" s="128">
        <v>55.67</v>
      </c>
      <c r="JN9" s="128">
        <v>79.36</v>
      </c>
      <c r="JO9" s="128">
        <v>55.67</v>
      </c>
      <c r="JP9" s="128">
        <v>80.81</v>
      </c>
      <c r="JQ9" s="128">
        <v>55.85</v>
      </c>
      <c r="JR9" s="186"/>
      <c r="JS9" s="187"/>
      <c r="JT9" s="128">
        <v>80.81</v>
      </c>
      <c r="JU9" s="128">
        <v>55.85</v>
      </c>
      <c r="JV9" s="128">
        <v>82.39</v>
      </c>
      <c r="JW9" s="128">
        <v>24.93</v>
      </c>
      <c r="JX9" s="128">
        <v>82.39</v>
      </c>
      <c r="JY9" s="128">
        <v>24.93</v>
      </c>
      <c r="JZ9" s="128">
        <v>82.39</v>
      </c>
      <c r="KA9" s="128">
        <v>24.93</v>
      </c>
      <c r="KB9" s="128">
        <v>82.39</v>
      </c>
      <c r="KC9" s="128">
        <v>24.93</v>
      </c>
      <c r="KD9" s="128">
        <v>82.39</v>
      </c>
      <c r="KE9" s="128">
        <v>24.93</v>
      </c>
      <c r="KF9" s="186"/>
      <c r="KG9" s="187"/>
      <c r="KH9" s="128">
        <v>82.39</v>
      </c>
      <c r="KI9" s="128">
        <v>24.93</v>
      </c>
      <c r="KJ9" s="128">
        <v>82.39</v>
      </c>
      <c r="KK9" s="128">
        <v>24.93</v>
      </c>
      <c r="KL9" s="128">
        <v>86.16</v>
      </c>
      <c r="KM9" s="128">
        <v>25.65</v>
      </c>
    </row>
    <row r="10" spans="1:305" s="153" customFormat="1" x14ac:dyDescent="0.3">
      <c r="A10" s="24">
        <v>6</v>
      </c>
      <c r="B10" s="25" t="s">
        <v>14</v>
      </c>
      <c r="C10" s="26" t="s">
        <v>47</v>
      </c>
      <c r="D10" s="213"/>
      <c r="E10" s="27">
        <f>499279.79+15433.41</f>
        <v>514713.19999999995</v>
      </c>
      <c r="F10" s="216"/>
      <c r="G10" s="27">
        <f>499343.79+39246.22</f>
        <v>538590.01</v>
      </c>
      <c r="H10" s="53">
        <f>499343.79+13333.66</f>
        <v>512677.44999999995</v>
      </c>
      <c r="I10" s="61">
        <f>499343.79+13333.66</f>
        <v>512677.44999999995</v>
      </c>
      <c r="J10" s="94">
        <v>0.47620000000000001</v>
      </c>
      <c r="K10" s="95">
        <v>2.5999999999999999E-2</v>
      </c>
      <c r="L10" s="56">
        <v>491527</v>
      </c>
      <c r="M10" s="94">
        <v>0.47620000000000001</v>
      </c>
      <c r="N10" s="95">
        <v>4.24E-2</v>
      </c>
      <c r="O10" s="61">
        <f>499343.79+14831.22</f>
        <v>514175.00999999995</v>
      </c>
      <c r="P10" s="94">
        <v>0.47620000000000001</v>
      </c>
      <c r="Q10" s="95">
        <v>2.9000000000000001E-2</v>
      </c>
      <c r="R10" s="56">
        <f>499343.79+24428.35</f>
        <v>523772.13999999996</v>
      </c>
      <c r="S10" s="94">
        <v>0.47620000000000001</v>
      </c>
      <c r="T10" s="95">
        <v>4.7699999999999999E-2</v>
      </c>
      <c r="U10" s="203"/>
      <c r="V10" s="61">
        <f>499407.79+29598.16</f>
        <v>529005.94999999995</v>
      </c>
      <c r="W10" s="94">
        <v>0.4763</v>
      </c>
      <c r="X10" s="95">
        <v>5.7799999999999997E-2</v>
      </c>
      <c r="Y10" s="61">
        <f>499471.79+89825.1</f>
        <v>589296.89</v>
      </c>
      <c r="Z10" s="92">
        <v>0.4763</v>
      </c>
      <c r="AA10" s="96">
        <v>0.1754</v>
      </c>
      <c r="AB10" s="61">
        <f>499535.79+99853.04</f>
        <v>599388.82999999996</v>
      </c>
      <c r="AC10" s="92">
        <v>0.47639999999999999</v>
      </c>
      <c r="AD10" s="96">
        <v>0.19500000000000001</v>
      </c>
      <c r="AE10" s="56">
        <f>499535.79+25118.16</f>
        <v>524653.94999999995</v>
      </c>
      <c r="AF10" s="92">
        <v>0.47639999999999999</v>
      </c>
      <c r="AG10" s="92">
        <v>4.3099999999999999E-2</v>
      </c>
      <c r="AH10" s="27">
        <f>499535.79+63642.16</f>
        <v>563177.94999999995</v>
      </c>
      <c r="AI10" s="94">
        <v>0.47639999999999999</v>
      </c>
      <c r="AJ10" s="94">
        <v>0.12429999999999999</v>
      </c>
      <c r="AK10" s="27">
        <f>499535.79+15007.79</f>
        <v>514543.57999999996</v>
      </c>
      <c r="AL10" s="94">
        <v>0.47639999999999999</v>
      </c>
      <c r="AM10" s="94">
        <v>2.93E-2</v>
      </c>
      <c r="AN10" s="186"/>
      <c r="AO10" s="223"/>
      <c r="AP10" s="187"/>
      <c r="AQ10" s="27">
        <f>499599.79+19456.16</f>
        <v>519055.94999999995</v>
      </c>
      <c r="AR10" s="94">
        <v>0.47649999999999998</v>
      </c>
      <c r="AS10" s="94">
        <v>3.7999999999999999E-2</v>
      </c>
      <c r="AT10" s="27">
        <f>499599.79+14127.22</f>
        <v>513727.00999999995</v>
      </c>
      <c r="AU10" s="94">
        <v>0.47649999999999998</v>
      </c>
      <c r="AV10" s="94">
        <v>2.76E-2</v>
      </c>
      <c r="AW10" s="192"/>
      <c r="AX10" s="193"/>
      <c r="AY10" s="196"/>
      <c r="AZ10" s="192"/>
      <c r="BA10" s="193"/>
      <c r="BB10" s="196"/>
      <c r="BC10" s="27">
        <f>499663.79+120425.04</f>
        <v>620088.82999999996</v>
      </c>
      <c r="BD10" s="94">
        <v>0.47649999999999998</v>
      </c>
      <c r="BE10" s="94">
        <v>0.23519999999999999</v>
      </c>
      <c r="BF10" s="27">
        <f>499983.79+209604.91</f>
        <v>709588.7</v>
      </c>
      <c r="BG10" s="94">
        <v>0.4768</v>
      </c>
      <c r="BH10" s="94">
        <v>0.40939999999999999</v>
      </c>
      <c r="BI10" s="228"/>
      <c r="BJ10" s="27">
        <f>500047.79+83786.6</f>
        <v>583834.39</v>
      </c>
      <c r="BK10" s="94">
        <v>0.47689999999999999</v>
      </c>
      <c r="BL10" s="94">
        <v>0.16370000000000001</v>
      </c>
      <c r="BM10" s="27">
        <f>500047.79+91681.1</f>
        <v>591728.89</v>
      </c>
      <c r="BN10" s="94">
        <v>0.47689999999999999</v>
      </c>
      <c r="BO10" s="94">
        <v>0.17910000000000001</v>
      </c>
      <c r="BP10" s="27">
        <f>500111.79+27709.04</f>
        <v>527820.82999999996</v>
      </c>
      <c r="BQ10" s="94">
        <v>0.47699999999999998</v>
      </c>
      <c r="BR10" s="94">
        <v>5.4100000000000002E-2</v>
      </c>
      <c r="BS10" s="27">
        <f>500111.79+27709.04</f>
        <v>527820.82999999996</v>
      </c>
      <c r="BT10" s="94">
        <v>0.47699999999999998</v>
      </c>
      <c r="BU10" s="94">
        <v>5.4100000000000002E-2</v>
      </c>
      <c r="BV10" s="27">
        <f>500111.79+27709.04</f>
        <v>527820.82999999996</v>
      </c>
      <c r="BW10" s="94">
        <v>0.47699999999999998</v>
      </c>
      <c r="BX10" s="94">
        <v>5.4100000000000002E-2</v>
      </c>
      <c r="BY10" s="27">
        <f>500111.79+27709.04</f>
        <v>527820.82999999996</v>
      </c>
      <c r="BZ10" s="94">
        <v>0.47699999999999998</v>
      </c>
      <c r="CA10" s="94">
        <v>5.4100000000000002E-2</v>
      </c>
      <c r="CC10" s="53">
        <f>488.39/1023.98*100</f>
        <v>47.69526748569308</v>
      </c>
      <c r="CD10" s="53">
        <f>21.51/499.98*100</f>
        <v>4.3021720868834752</v>
      </c>
      <c r="CE10" s="53">
        <f>488.39/1023.98*100</f>
        <v>47.69526748569308</v>
      </c>
      <c r="CF10" s="53">
        <f>25.75/499.98*100</f>
        <v>5.1502060082403291</v>
      </c>
      <c r="CG10" s="53">
        <f>488.39/1023.98*100</f>
        <v>47.69526748569308</v>
      </c>
      <c r="CH10" s="53">
        <f>11.24/499.98*100</f>
        <v>2.2480899235969436</v>
      </c>
      <c r="CI10" s="53">
        <f>488.39/1023.98*100</f>
        <v>47.69526748569308</v>
      </c>
      <c r="CJ10" s="53">
        <f>20.76/499.98*100</f>
        <v>4.152166086643466</v>
      </c>
      <c r="CK10" s="53">
        <f>488.39/1023.98*100</f>
        <v>47.69526748569308</v>
      </c>
      <c r="CL10" s="53">
        <f>12.59/499.98*100</f>
        <v>2.5181007240289608</v>
      </c>
      <c r="CM10" s="53">
        <f>488.39/1023.98*100</f>
        <v>47.69526748569308</v>
      </c>
      <c r="CN10" s="53">
        <f>24.28/499.98*100</f>
        <v>4.8561942477699107</v>
      </c>
      <c r="CO10" s="232"/>
      <c r="CP10" s="233"/>
      <c r="CQ10" s="53">
        <f>488.39/1023.98*100</f>
        <v>47.69526748569308</v>
      </c>
      <c r="CR10" s="53">
        <f>11.81/499.98*100</f>
        <v>2.3620944837793512</v>
      </c>
      <c r="CS10" s="53">
        <f>488.39/1023.98*100</f>
        <v>47.69526748569308</v>
      </c>
      <c r="CT10" s="53">
        <f>10.03/499.98*100</f>
        <v>2.0060802432097282</v>
      </c>
      <c r="CU10" s="53">
        <f>488.39/1023.98*100</f>
        <v>47.69526748569308</v>
      </c>
      <c r="CV10" s="53">
        <f>10.78/499.98*100</f>
        <v>2.1560862434497379</v>
      </c>
      <c r="CW10" s="53">
        <f>488.39/1023.98*100</f>
        <v>47.69526748569308</v>
      </c>
      <c r="CX10" s="53">
        <f>20.44/499.98*100</f>
        <v>4.0881635265410621</v>
      </c>
      <c r="CY10" s="53">
        <f>488.39/1023.98*100</f>
        <v>47.69526748569308</v>
      </c>
      <c r="CZ10" s="53">
        <f>10.78/499.98*100</f>
        <v>2.1560862434497379</v>
      </c>
      <c r="DA10" s="192"/>
      <c r="DB10" s="193"/>
      <c r="DC10" s="192"/>
      <c r="DD10" s="193"/>
      <c r="DE10" s="53">
        <f>488.52/1023.98*100</f>
        <v>47.707963046153239</v>
      </c>
      <c r="DF10" s="53">
        <f>19.23/499.98*100</f>
        <v>3.8461538461538463</v>
      </c>
      <c r="DG10" s="53">
        <f>488.52/1023.98*100</f>
        <v>47.707963046153239</v>
      </c>
      <c r="DH10" s="53">
        <f>19.23/499.98*100</f>
        <v>3.8461538461538463</v>
      </c>
      <c r="DI10" s="53">
        <f>488.52/1023.98*100</f>
        <v>47.707963046153239</v>
      </c>
      <c r="DJ10" s="53">
        <f>22.43/499.98*100</f>
        <v>4.4861794471778866</v>
      </c>
      <c r="DK10" s="53">
        <f>488.52/1023.98*100</f>
        <v>47.707963046153239</v>
      </c>
      <c r="DL10" s="53">
        <f>24.09/499.98*100</f>
        <v>4.8181927277091079</v>
      </c>
      <c r="DM10" s="53">
        <f>488.52/1023.98*100</f>
        <v>47.707963046153239</v>
      </c>
      <c r="DN10" s="53">
        <f>22.07/499.98*100</f>
        <v>4.4141765670626825</v>
      </c>
      <c r="DO10" s="128">
        <f>488.52/1023.98*100</f>
        <v>47.707963046153239</v>
      </c>
      <c r="DP10" s="128">
        <f>23.81/499.98*100</f>
        <v>4.7621904876195043</v>
      </c>
      <c r="DQ10" s="192"/>
      <c r="DR10" s="193"/>
      <c r="DS10" s="128">
        <f>488.52/1023.98*100</f>
        <v>47.707963046153239</v>
      </c>
      <c r="DT10" s="128">
        <f>22.19/499.98*100</f>
        <v>4.4381775271010842</v>
      </c>
      <c r="DU10" s="128">
        <f>488.52/1023.98*100</f>
        <v>47.707963046153239</v>
      </c>
      <c r="DV10" s="128">
        <f>22.19/499.98*100</f>
        <v>4.4381775271010842</v>
      </c>
      <c r="DW10" s="192"/>
      <c r="DX10" s="193"/>
      <c r="DY10" s="128">
        <f>431.84/1023.98*100</f>
        <v>42.172698685521198</v>
      </c>
      <c r="DZ10" s="128">
        <f>5.86/499.98*100</f>
        <v>1.1720468818752752</v>
      </c>
      <c r="EA10" s="128">
        <f>488.58/1023.98*100</f>
        <v>47.713822535596393</v>
      </c>
      <c r="EB10" s="128">
        <f>23.87/499.98*100</f>
        <v>4.774190967638706</v>
      </c>
      <c r="EC10" s="128">
        <f>488.58/1023.98*100</f>
        <v>47.713822535596393</v>
      </c>
      <c r="ED10" s="128">
        <f>48.93/499.98*100</f>
        <v>9.7863914556582259</v>
      </c>
      <c r="EE10" s="192"/>
      <c r="EF10" s="193"/>
      <c r="EG10" s="27"/>
      <c r="EH10" s="94"/>
      <c r="EI10" s="128">
        <f>488.58/1023.98*100</f>
        <v>47.713822535596393</v>
      </c>
      <c r="EJ10" s="128">
        <f>8.28/499.98*100</f>
        <v>1.6560662426497057</v>
      </c>
      <c r="EL10" s="53"/>
      <c r="EM10" s="53"/>
      <c r="EN10" s="192"/>
      <c r="EO10" s="193"/>
      <c r="EP10" s="128">
        <f>488.64/1023.98*100</f>
        <v>47.719682025039553</v>
      </c>
      <c r="EQ10" s="128">
        <f>23.93/499.98*100</f>
        <v>4.7861914476579059</v>
      </c>
      <c r="ER10" s="128">
        <f>488.64/1023.98*100</f>
        <v>47.719682025039553</v>
      </c>
      <c r="ES10" s="128">
        <f>23.93/499.98*100</f>
        <v>4.7861914476579059</v>
      </c>
      <c r="ET10" s="192"/>
      <c r="EU10" s="193"/>
      <c r="EV10" s="128">
        <f>488.64/1023.98*100</f>
        <v>47.719682025039553</v>
      </c>
      <c r="EW10" s="128">
        <f>23.93/499.98*100</f>
        <v>4.7861914476579059</v>
      </c>
      <c r="EX10" s="128">
        <f>488.64/1023.98*100</f>
        <v>47.719682025039553</v>
      </c>
      <c r="EY10" s="128">
        <f>26.75/499.98*100</f>
        <v>5.350214008560342</v>
      </c>
      <c r="EZ10" s="128">
        <f>488.64/1023.98*100</f>
        <v>47.719682025039553</v>
      </c>
      <c r="FA10" s="128">
        <f>40.38/499.98*100</f>
        <v>8.0763230529221168</v>
      </c>
      <c r="FB10" s="128">
        <v>58.02</v>
      </c>
      <c r="FC10" s="128">
        <v>13.43</v>
      </c>
      <c r="FD10" s="128">
        <v>47.82</v>
      </c>
      <c r="FE10" s="128">
        <v>4.87</v>
      </c>
      <c r="FF10" s="128">
        <v>47.82</v>
      </c>
      <c r="FG10" s="128">
        <v>4.87</v>
      </c>
      <c r="FH10" s="192"/>
      <c r="FI10" s="193"/>
      <c r="FJ10" s="128">
        <v>58.42</v>
      </c>
      <c r="FK10" s="128">
        <v>13.43</v>
      </c>
      <c r="FL10" s="128">
        <v>58.42</v>
      </c>
      <c r="FM10" s="128">
        <v>13.43</v>
      </c>
      <c r="FN10" s="128">
        <v>48.03</v>
      </c>
      <c r="FO10" s="128">
        <v>3.91</v>
      </c>
      <c r="FP10" s="128">
        <v>48.76</v>
      </c>
      <c r="FQ10" s="128">
        <v>6.31</v>
      </c>
      <c r="FR10" s="128">
        <v>48.8</v>
      </c>
      <c r="FS10" s="128">
        <v>3.68</v>
      </c>
      <c r="FT10" s="192"/>
      <c r="FU10" s="193"/>
      <c r="FV10" s="192"/>
      <c r="FW10" s="193"/>
      <c r="FX10" s="128">
        <v>48.88</v>
      </c>
      <c r="FY10" s="128">
        <v>4.5999999999999996</v>
      </c>
      <c r="FZ10" s="128">
        <v>48.9</v>
      </c>
      <c r="GA10" s="128">
        <v>3.43</v>
      </c>
      <c r="GB10" s="128">
        <v>48.94</v>
      </c>
      <c r="GC10" s="128">
        <v>4.97</v>
      </c>
      <c r="GD10" s="128">
        <v>48.96</v>
      </c>
      <c r="GE10" s="128">
        <v>2.85</v>
      </c>
      <c r="GF10" s="128">
        <v>48.98</v>
      </c>
      <c r="GG10" s="128">
        <v>1.76</v>
      </c>
      <c r="GH10" s="128"/>
      <c r="GI10" s="128"/>
      <c r="GJ10" s="192"/>
      <c r="GK10" s="193"/>
      <c r="GL10" s="128">
        <v>53.91</v>
      </c>
      <c r="GM10" s="128">
        <v>3.39</v>
      </c>
      <c r="GN10" s="128">
        <v>53.91</v>
      </c>
      <c r="GO10" s="128">
        <v>3.64</v>
      </c>
      <c r="GP10" s="27">
        <v>53.91</v>
      </c>
      <c r="GQ10" s="27">
        <v>3.1</v>
      </c>
      <c r="GR10" s="27">
        <v>53.91</v>
      </c>
      <c r="GS10" s="27">
        <v>3.1</v>
      </c>
      <c r="GT10" s="27">
        <v>53.91</v>
      </c>
      <c r="GU10" s="27">
        <v>3.54</v>
      </c>
      <c r="GW10" s="27">
        <v>53.91</v>
      </c>
      <c r="GX10" s="27">
        <v>3.54</v>
      </c>
      <c r="GY10" s="192"/>
      <c r="GZ10" s="193"/>
      <c r="HA10" s="192"/>
      <c r="HB10" s="193"/>
      <c r="HC10" s="53">
        <v>77.13</v>
      </c>
      <c r="HD10" s="53">
        <v>28.15</v>
      </c>
      <c r="HE10" s="53"/>
      <c r="HF10" s="53"/>
      <c r="HG10" s="192"/>
      <c r="HH10" s="193"/>
      <c r="HI10" s="192"/>
      <c r="HJ10" s="193"/>
      <c r="HK10" s="53">
        <v>77.489999999999995</v>
      </c>
      <c r="HL10" s="53">
        <v>89.87</v>
      </c>
      <c r="HM10" s="192"/>
      <c r="HN10" s="193"/>
      <c r="HO10" s="128">
        <v>78.44</v>
      </c>
      <c r="HP10" s="128">
        <v>5.92</v>
      </c>
      <c r="HQ10" s="128">
        <v>78.44</v>
      </c>
      <c r="HR10" s="128">
        <v>5.92</v>
      </c>
      <c r="HS10" s="128">
        <v>78.61</v>
      </c>
      <c r="HT10" s="128">
        <v>5.99</v>
      </c>
      <c r="HU10" s="128"/>
      <c r="HV10" s="128"/>
      <c r="HW10" s="128"/>
      <c r="HX10" s="128"/>
      <c r="HY10" s="128">
        <v>78.760000000000005</v>
      </c>
      <c r="HZ10" s="128">
        <v>6.42</v>
      </c>
      <c r="IA10" s="128">
        <v>78.760000000000005</v>
      </c>
      <c r="IB10" s="128">
        <v>6.42</v>
      </c>
      <c r="IC10" s="128">
        <v>78.78</v>
      </c>
      <c r="ID10" s="128">
        <v>6.45</v>
      </c>
      <c r="IE10" s="128">
        <v>78.78</v>
      </c>
      <c r="IF10" s="128">
        <v>6.45</v>
      </c>
      <c r="IG10" s="128">
        <v>78.78</v>
      </c>
      <c r="IH10" s="128">
        <v>6.45</v>
      </c>
      <c r="II10" s="128">
        <v>78.78</v>
      </c>
      <c r="IJ10" s="128">
        <v>6.45</v>
      </c>
      <c r="IK10" s="192"/>
      <c r="IL10" s="193"/>
      <c r="IM10" s="128">
        <v>78.78</v>
      </c>
      <c r="IN10" s="128">
        <v>6.45</v>
      </c>
      <c r="IO10" s="192"/>
      <c r="IP10" s="193"/>
      <c r="IQ10" s="128">
        <v>78.84</v>
      </c>
      <c r="IR10" s="128">
        <v>11.15</v>
      </c>
      <c r="IS10" s="128">
        <v>78.84</v>
      </c>
      <c r="IT10" s="128">
        <v>11.15</v>
      </c>
      <c r="IU10" s="128">
        <v>78.84</v>
      </c>
      <c r="IV10" s="128">
        <v>11.15</v>
      </c>
      <c r="IW10" s="128">
        <v>78.94</v>
      </c>
      <c r="IX10" s="128">
        <v>54.49</v>
      </c>
      <c r="IY10" s="128">
        <v>78.94</v>
      </c>
      <c r="IZ10" s="128">
        <v>54.49</v>
      </c>
      <c r="JA10" s="128">
        <v>78.98</v>
      </c>
      <c r="JB10" s="128">
        <v>54.69</v>
      </c>
      <c r="JC10" s="128"/>
      <c r="JD10" s="128"/>
      <c r="JE10" s="128">
        <v>78.98</v>
      </c>
      <c r="JF10" s="128">
        <v>54.69</v>
      </c>
      <c r="JH10" s="128">
        <v>79.05</v>
      </c>
      <c r="JI10" s="128">
        <v>54.9</v>
      </c>
      <c r="JJ10" s="128">
        <v>79.05</v>
      </c>
      <c r="JK10" s="128">
        <v>54.9</v>
      </c>
      <c r="JL10" s="128">
        <v>79.05</v>
      </c>
      <c r="JM10" s="128">
        <v>54.9</v>
      </c>
      <c r="JN10" s="128">
        <v>79.05</v>
      </c>
      <c r="JO10" s="128">
        <v>54.9</v>
      </c>
      <c r="JP10" s="128">
        <v>79.12</v>
      </c>
      <c r="JQ10" s="128">
        <v>55.2</v>
      </c>
      <c r="JR10" s="186"/>
      <c r="JS10" s="187"/>
      <c r="JT10" s="128">
        <v>79.12</v>
      </c>
      <c r="JU10" s="128">
        <v>55.2</v>
      </c>
      <c r="JV10" s="128">
        <v>79.19</v>
      </c>
      <c r="JW10" s="128">
        <v>55.62</v>
      </c>
      <c r="JX10" s="128">
        <v>79.19</v>
      </c>
      <c r="JY10" s="128">
        <v>55.62</v>
      </c>
      <c r="JZ10" s="128">
        <v>79.19</v>
      </c>
      <c r="KA10" s="128">
        <v>55.62</v>
      </c>
      <c r="KB10" s="128">
        <v>79.19</v>
      </c>
      <c r="KC10" s="128">
        <v>55.62</v>
      </c>
      <c r="KD10" s="128">
        <v>79.19</v>
      </c>
      <c r="KE10" s="128">
        <v>55.62</v>
      </c>
      <c r="KF10" s="186"/>
      <c r="KG10" s="187"/>
      <c r="KH10" s="128">
        <v>79.19</v>
      </c>
      <c r="KI10" s="128">
        <v>55.62</v>
      </c>
      <c r="KJ10" s="128">
        <v>79.19</v>
      </c>
      <c r="KK10" s="128">
        <v>55.62</v>
      </c>
      <c r="KL10" s="128">
        <v>69.150000000000006</v>
      </c>
      <c r="KM10" s="128">
        <v>17.32</v>
      </c>
    </row>
    <row r="11" spans="1:305" x14ac:dyDescent="0.3">
      <c r="A11" s="24">
        <v>7</v>
      </c>
      <c r="B11" s="25" t="s">
        <v>15</v>
      </c>
      <c r="C11" s="26" t="s">
        <v>47</v>
      </c>
      <c r="D11" s="213"/>
      <c r="E11" s="27"/>
      <c r="F11" s="216"/>
      <c r="G11" s="27"/>
      <c r="H11" s="53"/>
      <c r="I11" s="61"/>
      <c r="J11" s="27"/>
      <c r="K11" s="62"/>
      <c r="L11" s="56"/>
      <c r="M11" s="27"/>
      <c r="N11" s="62"/>
      <c r="O11" s="61"/>
      <c r="P11" s="27"/>
      <c r="Q11" s="62"/>
      <c r="R11" s="56"/>
      <c r="S11" s="27"/>
      <c r="T11" s="62"/>
      <c r="U11" s="203"/>
      <c r="V11" s="61"/>
      <c r="W11" s="27"/>
      <c r="X11" s="62"/>
      <c r="Y11" s="61"/>
      <c r="Z11" s="56"/>
      <c r="AA11" s="80"/>
      <c r="AB11" s="61"/>
      <c r="AC11" s="56"/>
      <c r="AD11" s="80"/>
      <c r="AE11" s="56"/>
      <c r="AF11" s="56"/>
      <c r="AG11" s="56"/>
      <c r="AH11" s="27"/>
      <c r="AI11" s="27"/>
      <c r="AJ11" s="27"/>
      <c r="AK11" s="27"/>
      <c r="AL11" s="27"/>
      <c r="AM11" s="27"/>
      <c r="AN11" s="186"/>
      <c r="AO11" s="223"/>
      <c r="AP11" s="187"/>
      <c r="AQ11" s="27"/>
      <c r="AR11" s="27"/>
      <c r="AS11" s="27"/>
      <c r="AT11" s="27"/>
      <c r="AU11" s="27"/>
      <c r="AV11" s="27"/>
      <c r="AW11" s="192"/>
      <c r="AX11" s="193"/>
      <c r="AY11" s="196"/>
      <c r="AZ11" s="192"/>
      <c r="BA11" s="193"/>
      <c r="BB11" s="196"/>
      <c r="BC11" s="27"/>
      <c r="BD11" s="27"/>
      <c r="BE11" s="27"/>
      <c r="BF11" s="27"/>
      <c r="BG11" s="27"/>
      <c r="BH11" s="27"/>
      <c r="BI11" s="228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C11" s="53"/>
      <c r="CD11" s="53"/>
      <c r="CE11" s="61"/>
      <c r="CF11" s="27"/>
      <c r="CG11" s="56"/>
      <c r="CH11" s="27"/>
      <c r="CI11" s="61"/>
      <c r="CJ11" s="27"/>
      <c r="CK11" s="27"/>
      <c r="CL11" s="62"/>
      <c r="CM11" s="61"/>
      <c r="CN11" s="62"/>
      <c r="CO11" s="232"/>
      <c r="CP11" s="233"/>
      <c r="CQ11" s="61"/>
      <c r="CR11" s="56"/>
      <c r="CS11" s="56"/>
      <c r="CT11" s="56"/>
      <c r="CU11" s="27"/>
      <c r="CV11" s="27"/>
      <c r="CW11" s="27"/>
      <c r="CX11" s="27"/>
      <c r="CY11" s="27"/>
      <c r="CZ11" s="27"/>
      <c r="DA11" s="192"/>
      <c r="DB11" s="193"/>
      <c r="DC11" s="192"/>
      <c r="DD11" s="193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130"/>
      <c r="DP11" s="130"/>
      <c r="DQ11" s="192"/>
      <c r="DR11" s="193"/>
      <c r="DS11" s="27"/>
      <c r="DT11" s="27"/>
      <c r="DU11" s="27"/>
      <c r="DV11" s="27"/>
      <c r="DW11" s="192"/>
      <c r="DX11" s="193"/>
      <c r="DY11" s="27"/>
      <c r="DZ11" s="27"/>
      <c r="EA11" s="27"/>
      <c r="EB11" s="27"/>
      <c r="EC11" s="27"/>
      <c r="ED11" s="27"/>
      <c r="EE11" s="192"/>
      <c r="EF11" s="193"/>
      <c r="EG11" s="27"/>
      <c r="EH11" s="27"/>
      <c r="EI11" s="27"/>
      <c r="EJ11" s="27"/>
      <c r="EL11" s="53"/>
      <c r="EM11" s="53"/>
      <c r="EN11" s="192"/>
      <c r="EO11" s="193"/>
      <c r="EP11" s="56"/>
      <c r="EQ11" s="27"/>
      <c r="ER11" s="61"/>
      <c r="ES11" s="27"/>
      <c r="ET11" s="192"/>
      <c r="EU11" s="193"/>
      <c r="EV11" s="61"/>
      <c r="EW11" s="27"/>
      <c r="EX11" s="61"/>
      <c r="EY11" s="27"/>
      <c r="EZ11" s="61"/>
      <c r="FA11" s="27"/>
      <c r="FB11" s="61"/>
      <c r="FC11" s="27"/>
      <c r="FD11" s="27"/>
      <c r="FE11" s="27"/>
      <c r="FF11" s="27"/>
      <c r="FG11" s="27"/>
      <c r="FH11" s="192"/>
      <c r="FI11" s="193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192"/>
      <c r="FU11" s="193"/>
      <c r="FV11" s="192"/>
      <c r="FW11" s="193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192"/>
      <c r="GK11" s="193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W11" s="27"/>
      <c r="GX11" s="27"/>
      <c r="GY11" s="192"/>
      <c r="GZ11" s="193"/>
      <c r="HA11" s="192"/>
      <c r="HB11" s="193"/>
      <c r="HC11" s="61"/>
      <c r="HD11" s="27"/>
      <c r="HE11" s="61"/>
      <c r="HF11" s="27"/>
      <c r="HG11" s="192"/>
      <c r="HH11" s="193"/>
      <c r="HI11" s="192"/>
      <c r="HJ11" s="193"/>
      <c r="HK11" s="61"/>
      <c r="HL11" s="27"/>
      <c r="HM11" s="192"/>
      <c r="HN11" s="193"/>
      <c r="HO11" s="27"/>
      <c r="HP11" s="27"/>
      <c r="HQ11" s="27"/>
      <c r="HR11" s="27"/>
      <c r="HS11" s="27"/>
      <c r="HT11" s="27"/>
      <c r="HU11" s="27"/>
      <c r="HV11" s="27"/>
      <c r="HW11" s="27"/>
      <c r="HX11" s="27"/>
      <c r="HY11" s="27"/>
      <c r="HZ11" s="27"/>
      <c r="IA11" s="27"/>
      <c r="IB11" s="27"/>
      <c r="IC11" s="27"/>
      <c r="ID11" s="27"/>
      <c r="IE11" s="27"/>
      <c r="IF11" s="27"/>
      <c r="IG11" s="27"/>
      <c r="IH11" s="27"/>
      <c r="II11" s="27"/>
      <c r="IJ11" s="27"/>
      <c r="IK11" s="192"/>
      <c r="IL11" s="193"/>
      <c r="IM11" s="27"/>
      <c r="IN11" s="27"/>
      <c r="IO11" s="192"/>
      <c r="IP11" s="193"/>
      <c r="IQ11" s="27"/>
      <c r="IR11" s="27"/>
      <c r="IS11" s="27"/>
      <c r="IT11" s="27"/>
      <c r="IU11" s="27"/>
      <c r="IV11" s="27"/>
      <c r="IW11" s="27"/>
      <c r="IX11" s="27"/>
      <c r="IY11" s="27"/>
      <c r="IZ11" s="27"/>
      <c r="JA11" s="27"/>
      <c r="JB11" s="27"/>
      <c r="JC11" s="27"/>
      <c r="JD11" s="27"/>
      <c r="JE11" s="27"/>
      <c r="JF11" s="27"/>
      <c r="JH11" s="27"/>
      <c r="JI11" s="27"/>
      <c r="JJ11" s="27"/>
      <c r="JK11" s="27"/>
      <c r="JL11" s="27"/>
      <c r="JM11" s="27"/>
      <c r="JN11" s="27"/>
      <c r="JO11" s="27"/>
      <c r="JP11" s="27"/>
      <c r="JQ11" s="27"/>
      <c r="JR11" s="186"/>
      <c r="JS11" s="187"/>
      <c r="JT11" s="27"/>
      <c r="JU11" s="27"/>
      <c r="JV11" s="27"/>
      <c r="JW11" s="27"/>
      <c r="JX11" s="27"/>
      <c r="JY11" s="27"/>
      <c r="JZ11" s="27"/>
      <c r="KA11" s="27"/>
      <c r="KB11" s="27"/>
      <c r="KC11" s="27"/>
      <c r="KD11" s="27"/>
      <c r="KE11" s="27"/>
      <c r="KF11" s="186"/>
      <c r="KG11" s="187"/>
      <c r="KH11" s="27"/>
      <c r="KI11" s="27"/>
      <c r="KJ11" s="27"/>
      <c r="KK11" s="27"/>
      <c r="KL11" s="27"/>
      <c r="KM11" s="27"/>
    </row>
    <row r="12" spans="1:305" s="153" customFormat="1" x14ac:dyDescent="0.3">
      <c r="A12" s="24">
        <v>8</v>
      </c>
      <c r="B12" s="25" t="s">
        <v>16</v>
      </c>
      <c r="C12" s="26" t="s">
        <v>47</v>
      </c>
      <c r="D12" s="213"/>
      <c r="E12" s="27">
        <f>274957.32+411821.5</f>
        <v>686778.82000000007</v>
      </c>
      <c r="F12" s="216"/>
      <c r="G12" s="27">
        <f>279957.42+413191.38</f>
        <v>693148.8</v>
      </c>
      <c r="H12" s="53">
        <f>274957.42+417466.75</f>
        <v>692424.16999999993</v>
      </c>
      <c r="I12" s="61">
        <f>274957.42+417356.5</f>
        <v>692313.91999999993</v>
      </c>
      <c r="J12" s="94">
        <v>0.26219999999999999</v>
      </c>
      <c r="K12" s="95">
        <v>0.81520000000000004</v>
      </c>
      <c r="L12" s="56">
        <f>274957.42+440917.56</f>
        <v>715874.98</v>
      </c>
      <c r="M12" s="94">
        <v>0.26219999999999999</v>
      </c>
      <c r="N12" s="95">
        <v>0.86119999999999997</v>
      </c>
      <c r="O12" s="61">
        <f>274957.42+395104.36</f>
        <v>670061.78</v>
      </c>
      <c r="P12" s="94">
        <v>0.26219999999999999</v>
      </c>
      <c r="Q12" s="95">
        <v>0.77170000000000005</v>
      </c>
      <c r="R12" s="56">
        <f>274957.42+399344.61</f>
        <v>674302.03</v>
      </c>
      <c r="S12" s="94">
        <v>0.26219999999999999</v>
      </c>
      <c r="T12" s="95">
        <v>0.78</v>
      </c>
      <c r="U12" s="203"/>
      <c r="V12" s="61">
        <f>275021.42+397401.73</f>
        <v>672423.14999999991</v>
      </c>
      <c r="W12" s="94">
        <v>0.26229999999999998</v>
      </c>
      <c r="X12" s="95">
        <v>0.7762</v>
      </c>
      <c r="Y12" s="61">
        <f>275021.42+392375.73</f>
        <v>667397.14999999991</v>
      </c>
      <c r="Z12" s="92">
        <v>0.26229999999999998</v>
      </c>
      <c r="AA12" s="96">
        <v>0.76639999999999997</v>
      </c>
      <c r="AB12" s="61">
        <f>275021.42+393679.48</f>
        <v>668700.89999999991</v>
      </c>
      <c r="AC12" s="92">
        <v>0.26229999999999998</v>
      </c>
      <c r="AD12" s="96">
        <v>0.76890000000000003</v>
      </c>
      <c r="AE12" s="27">
        <f>275021.42+398012.3</f>
        <v>673033.72</v>
      </c>
      <c r="AF12" s="92">
        <v>0.26229999999999998</v>
      </c>
      <c r="AG12" s="92">
        <v>0.7792</v>
      </c>
      <c r="AH12" s="27">
        <f>275021.42+398112.3</f>
        <v>673133.72</v>
      </c>
      <c r="AI12" s="94">
        <v>0.26229999999999998</v>
      </c>
      <c r="AJ12" s="94">
        <v>0.77759999999999996</v>
      </c>
      <c r="AK12" s="27">
        <f>275021.42+411682.73</f>
        <v>686704.14999999991</v>
      </c>
      <c r="AL12" s="94">
        <v>0.26229999999999998</v>
      </c>
      <c r="AM12" s="154">
        <v>0.80410000000000004</v>
      </c>
      <c r="AN12" s="186"/>
      <c r="AO12" s="223"/>
      <c r="AP12" s="187"/>
      <c r="AQ12" s="27">
        <f>275021.42+423606.61</f>
        <v>698628.03</v>
      </c>
      <c r="AR12" s="94">
        <v>0.26229999999999998</v>
      </c>
      <c r="AS12" s="154">
        <v>0.82740000000000002</v>
      </c>
      <c r="AT12" s="27">
        <f>275021.42+416791.98</f>
        <v>691813.39999999991</v>
      </c>
      <c r="AU12" s="94">
        <v>0.26229999999999998</v>
      </c>
      <c r="AV12" s="154">
        <v>0.81410000000000005</v>
      </c>
      <c r="AW12" s="192"/>
      <c r="AX12" s="193"/>
      <c r="AY12" s="196"/>
      <c r="AZ12" s="192"/>
      <c r="BA12" s="193"/>
      <c r="BB12" s="196"/>
      <c r="BC12" s="27">
        <f>275469.42+426882.8</f>
        <v>702352.22</v>
      </c>
      <c r="BD12" s="94">
        <v>0.26269999999999999</v>
      </c>
      <c r="BE12" s="154">
        <v>0.83379999999999999</v>
      </c>
      <c r="BF12" s="27">
        <f>275533.42+433590.17</f>
        <v>709123.59</v>
      </c>
      <c r="BG12" s="94">
        <v>0.26279999999999998</v>
      </c>
      <c r="BH12" s="154">
        <v>0.84689999999999999</v>
      </c>
      <c r="BI12" s="228"/>
      <c r="BJ12" s="27">
        <f>275533.42+425568.98</f>
        <v>701102.39999999991</v>
      </c>
      <c r="BK12" s="94">
        <v>0.26279999999999998</v>
      </c>
      <c r="BL12" s="154">
        <v>0.83120000000000005</v>
      </c>
      <c r="BM12" s="27">
        <f>275533.42+175793.17</f>
        <v>451326.58999999997</v>
      </c>
      <c r="BN12" s="94">
        <v>0.26279999999999998</v>
      </c>
      <c r="BO12" s="94">
        <v>0.34339999999999998</v>
      </c>
      <c r="BP12" s="27">
        <f>275533.42+189289.42</f>
        <v>464822.83999999997</v>
      </c>
      <c r="BQ12" s="94">
        <v>0.26279999999999998</v>
      </c>
      <c r="BR12" s="94">
        <v>0.36969999999999997</v>
      </c>
      <c r="BS12" s="27">
        <f>275533.42+196957.8</f>
        <v>472491.22</v>
      </c>
      <c r="BT12" s="94">
        <v>0.26279999999999998</v>
      </c>
      <c r="BU12" s="94">
        <v>0.36470000000000002</v>
      </c>
      <c r="BV12" s="27">
        <f>275533.42+183625.11</f>
        <v>459158.52999999997</v>
      </c>
      <c r="BW12" s="94">
        <v>0.26279999999999998</v>
      </c>
      <c r="BX12" s="94">
        <v>0.35870000000000002</v>
      </c>
      <c r="BY12" s="27">
        <f>275533.42+197621.42</f>
        <v>473154.83999999997</v>
      </c>
      <c r="BZ12" s="94">
        <v>0.26279999999999998</v>
      </c>
      <c r="CA12" s="94">
        <v>0.38600000000000001</v>
      </c>
      <c r="CC12" s="53">
        <f>269.08/1023.98*100</f>
        <v>26.277856989394323</v>
      </c>
      <c r="CD12" s="53">
        <f>200.44/499.98*100</f>
        <v>40.089603584143362</v>
      </c>
      <c r="CE12" s="53">
        <f>269.08/1023.98*100</f>
        <v>26.277856989394323</v>
      </c>
      <c r="CF12" s="53">
        <f>202.37/499.98*100</f>
        <v>40.475619024760988</v>
      </c>
      <c r="CG12" s="53">
        <f>269.08/1023.98*100</f>
        <v>26.277856989394323</v>
      </c>
      <c r="CH12" s="53">
        <f>191.48/499.98*100</f>
        <v>38.297531901276052</v>
      </c>
      <c r="CI12" s="53">
        <f>269.08/1023.98*100</f>
        <v>26.277856989394323</v>
      </c>
      <c r="CJ12" s="53">
        <f>208.54/499.98*100</f>
        <v>41.709668386735466</v>
      </c>
      <c r="CK12" s="53">
        <f>269.08/1023.98*100</f>
        <v>26.277856989394323</v>
      </c>
      <c r="CL12" s="53">
        <f>215.77/499.98*100</f>
        <v>43.155726229049165</v>
      </c>
      <c r="CM12" s="53">
        <f>269.08/1023.98*100</f>
        <v>26.277856989394323</v>
      </c>
      <c r="CN12" s="53">
        <f>206.49/499.98*100</f>
        <v>41.299651986079446</v>
      </c>
      <c r="CO12" s="232"/>
      <c r="CP12" s="233"/>
      <c r="CQ12" s="53">
        <f>269.08/1023.98*100</f>
        <v>26.277856989394323</v>
      </c>
      <c r="CR12" s="53">
        <f>203.86/499.98*100</f>
        <v>40.773630945237812</v>
      </c>
      <c r="CS12" s="53">
        <f>269.08/1023.98*100</f>
        <v>26.277856989394323</v>
      </c>
      <c r="CT12" s="53">
        <f>217.7/499.98*100</f>
        <v>43.541741669666784</v>
      </c>
      <c r="CU12" s="53">
        <f>269.08/1023.98*100</f>
        <v>26.277856989394323</v>
      </c>
      <c r="CV12" s="53">
        <f>207.92/499.98*100</f>
        <v>41.585663426537053</v>
      </c>
      <c r="CW12" s="53">
        <f>269.08/1023.98*100</f>
        <v>26.277856989394323</v>
      </c>
      <c r="CX12" s="53">
        <f>218.74/499.98*100</f>
        <v>43.7497499899996</v>
      </c>
      <c r="CY12" s="53">
        <f>269.08/1023.98*100</f>
        <v>26.277856989394323</v>
      </c>
      <c r="CZ12" s="53">
        <f>216.87/499.98*100</f>
        <v>43.375735029401177</v>
      </c>
      <c r="DA12" s="192"/>
      <c r="DB12" s="193"/>
      <c r="DC12" s="192"/>
      <c r="DD12" s="193"/>
      <c r="DE12" s="53">
        <f>269.08/1023.98*100</f>
        <v>26.277856989394323</v>
      </c>
      <c r="DF12" s="53">
        <f>226.82/499.98*100</f>
        <v>45.365814632585298</v>
      </c>
      <c r="DG12" s="53">
        <f>269.08/1023.98*100</f>
        <v>26.277856989394323</v>
      </c>
      <c r="DH12" s="53">
        <f>231.18/499.98*100</f>
        <v>46.237849513980564</v>
      </c>
      <c r="DI12" s="53">
        <f>269.08/1023.98*100</f>
        <v>26.277856989394323</v>
      </c>
      <c r="DJ12" s="53">
        <f>230.77/499.98*100</f>
        <v>46.15584623384936</v>
      </c>
      <c r="DK12" s="53">
        <f>269.08/1023.98*100</f>
        <v>26.277856989394323</v>
      </c>
      <c r="DL12" s="53">
        <f>232.87/499.98*100</f>
        <v>46.575863034521383</v>
      </c>
      <c r="DM12" s="53">
        <f>269.08/1023.98*100</f>
        <v>26.277856989394323</v>
      </c>
      <c r="DN12" s="53">
        <f>236.63/499.98*100</f>
        <v>47.327893115724628</v>
      </c>
      <c r="DO12" s="128">
        <f>269.08/1023.98*100</f>
        <v>26.277856989394323</v>
      </c>
      <c r="DP12" s="128">
        <f>243/499.98*100</f>
        <v>48.601944077763108</v>
      </c>
      <c r="DQ12" s="192"/>
      <c r="DR12" s="193"/>
      <c r="DS12" s="128">
        <f>269.08/1023.98*100</f>
        <v>26.277856989394323</v>
      </c>
      <c r="DT12" s="128">
        <f>242.87/499.98*100</f>
        <v>48.575943037721508</v>
      </c>
      <c r="DU12" s="128">
        <f>269.08/1023.98*100</f>
        <v>26.277856989394323</v>
      </c>
      <c r="DV12" s="128">
        <f>242.87/499.98*100</f>
        <v>48.575943037721508</v>
      </c>
      <c r="DW12" s="192"/>
      <c r="DX12" s="193"/>
      <c r="DY12" s="128">
        <f>269.2/1023.98*100</f>
        <v>26.289575968280626</v>
      </c>
      <c r="DZ12" s="128">
        <f>251.01/499.98*100</f>
        <v>50.20400816032641</v>
      </c>
      <c r="EA12" s="128">
        <f>269.2/1023.98*100</f>
        <v>26.289575968280626</v>
      </c>
      <c r="EB12" s="128">
        <f>308.43/499.98*100</f>
        <v>61.688467538701552</v>
      </c>
      <c r="EC12" s="128">
        <f>269.2/1023.98*100</f>
        <v>26.289575968280626</v>
      </c>
      <c r="ED12" s="128">
        <f>323.94/499.98*100</f>
        <v>64.790591623664938</v>
      </c>
      <c r="EE12" s="192"/>
      <c r="EF12" s="193"/>
      <c r="EG12" s="27"/>
      <c r="EH12" s="94"/>
      <c r="EI12" s="128">
        <f>269.2/1023.98*100</f>
        <v>26.289575968280626</v>
      </c>
      <c r="EJ12" s="128">
        <f>315.06/499.98*100</f>
        <v>63.01452058082323</v>
      </c>
      <c r="EL12" s="53"/>
      <c r="EM12" s="53"/>
      <c r="EN12" s="192"/>
      <c r="EO12" s="193"/>
      <c r="EP12" s="128">
        <f>269.2/1023.98*100</f>
        <v>26.289575968280626</v>
      </c>
      <c r="EQ12" s="128">
        <f>324.39/499.98*100</f>
        <v>64.880595223808939</v>
      </c>
      <c r="ER12" s="128">
        <f>269.2/1023.98*100</f>
        <v>26.289575968280626</v>
      </c>
      <c r="ES12" s="128">
        <f>325.74/499.98*100</f>
        <v>65.150606024240972</v>
      </c>
      <c r="ET12" s="192"/>
      <c r="EU12" s="193"/>
      <c r="EV12" s="128">
        <f>269.2/1023.98*100</f>
        <v>26.289575968280626</v>
      </c>
      <c r="EW12" s="128">
        <f>336/499.98*100</f>
        <v>67.202688107524295</v>
      </c>
      <c r="EX12" s="128">
        <f>269.2/1023.98*100</f>
        <v>26.289575968280626</v>
      </c>
      <c r="EY12" s="128">
        <f>336/499.98*100</f>
        <v>67.202688107524295</v>
      </c>
      <c r="EZ12" s="128">
        <f>269.2/1023.98*100</f>
        <v>26.289575968280626</v>
      </c>
      <c r="FA12" s="128">
        <f>358.55/499.98*100</f>
        <v>71.712868514740592</v>
      </c>
      <c r="FB12" s="128">
        <f>269.2/1023.98*100</f>
        <v>26.289575968280626</v>
      </c>
      <c r="FC12" s="128">
        <v>66.959999999999994</v>
      </c>
      <c r="FD12" s="128">
        <v>26.3</v>
      </c>
      <c r="FE12" s="128">
        <v>69.22</v>
      </c>
      <c r="FF12" s="128">
        <v>26.3</v>
      </c>
      <c r="FG12" s="128">
        <v>69.22</v>
      </c>
      <c r="FH12" s="192"/>
      <c r="FI12" s="193"/>
      <c r="FJ12" s="128">
        <v>26.3</v>
      </c>
      <c r="FK12" s="128">
        <v>23.57</v>
      </c>
      <c r="FL12" s="128">
        <v>26.3</v>
      </c>
      <c r="FM12" s="128">
        <v>24.06</v>
      </c>
      <c r="FN12" s="128">
        <v>26.3</v>
      </c>
      <c r="FO12" s="128">
        <v>24.67</v>
      </c>
      <c r="FP12" s="128">
        <v>26.3</v>
      </c>
      <c r="FQ12" s="128">
        <v>25.91</v>
      </c>
      <c r="FR12" s="128">
        <v>26.3</v>
      </c>
      <c r="FS12" s="128">
        <v>25.83</v>
      </c>
      <c r="FT12" s="192"/>
      <c r="FU12" s="193"/>
      <c r="FV12" s="192"/>
      <c r="FW12" s="193"/>
      <c r="FX12" s="128">
        <v>26.3</v>
      </c>
      <c r="FY12" s="128">
        <v>27.39</v>
      </c>
      <c r="FZ12" s="128">
        <v>26.3</v>
      </c>
      <c r="GA12" s="128">
        <v>28.47</v>
      </c>
      <c r="GB12" s="128">
        <v>26.3</v>
      </c>
      <c r="GC12" s="128">
        <v>28.88</v>
      </c>
      <c r="GD12" s="128">
        <v>26.3</v>
      </c>
      <c r="GE12" s="128">
        <v>28.52</v>
      </c>
      <c r="GF12" s="128">
        <v>26.3</v>
      </c>
      <c r="GG12" s="128">
        <v>28.59</v>
      </c>
      <c r="GH12" s="128"/>
      <c r="GI12" s="128"/>
      <c r="GJ12" s="192"/>
      <c r="GK12" s="193"/>
      <c r="GL12" s="128">
        <v>25.68</v>
      </c>
      <c r="GM12" s="128">
        <v>30.04</v>
      </c>
      <c r="GN12" s="128">
        <v>49.02</v>
      </c>
      <c r="GO12" s="128">
        <v>18.27</v>
      </c>
      <c r="GP12" s="128">
        <v>49.15</v>
      </c>
      <c r="GQ12" s="128">
        <v>9.5</v>
      </c>
      <c r="GR12" s="128">
        <v>49.15</v>
      </c>
      <c r="GS12" s="128">
        <v>9.5</v>
      </c>
      <c r="GT12" s="27">
        <v>64.89</v>
      </c>
      <c r="GU12" s="27">
        <v>84.12</v>
      </c>
      <c r="GW12" s="27">
        <v>64.89</v>
      </c>
      <c r="GX12" s="27">
        <v>84.12</v>
      </c>
      <c r="GY12" s="192"/>
      <c r="GZ12" s="193"/>
      <c r="HA12" s="192"/>
      <c r="HB12" s="193"/>
      <c r="HC12" s="53">
        <v>77.13</v>
      </c>
      <c r="HD12" s="53">
        <v>28.15</v>
      </c>
      <c r="HE12" s="53"/>
      <c r="HF12" s="53"/>
      <c r="HG12" s="192"/>
      <c r="HH12" s="193"/>
      <c r="HI12" s="192"/>
      <c r="HJ12" s="193"/>
      <c r="HK12" s="53">
        <v>77.489999999999995</v>
      </c>
      <c r="HL12" s="53">
        <v>89.87</v>
      </c>
      <c r="HM12" s="192"/>
      <c r="HN12" s="193"/>
      <c r="HO12" s="128">
        <v>78.44</v>
      </c>
      <c r="HP12" s="128">
        <v>5.92</v>
      </c>
      <c r="HQ12" s="128">
        <v>78.44</v>
      </c>
      <c r="HR12" s="128">
        <v>5.92</v>
      </c>
      <c r="HS12" s="128"/>
      <c r="HT12" s="128"/>
      <c r="HU12" s="128">
        <v>78.650000000000006</v>
      </c>
      <c r="HV12" s="128">
        <v>2.73</v>
      </c>
      <c r="HW12" s="128">
        <v>78.650000000000006</v>
      </c>
      <c r="HX12" s="128">
        <v>2.73</v>
      </c>
      <c r="HY12" s="128"/>
      <c r="HZ12" s="128"/>
      <c r="IA12" s="128"/>
      <c r="IB12" s="128"/>
      <c r="IC12" s="128"/>
      <c r="ID12" s="128"/>
      <c r="IE12" s="128"/>
      <c r="IF12" s="128"/>
      <c r="IG12" s="128"/>
      <c r="IH12" s="128"/>
      <c r="II12" s="128"/>
      <c r="IJ12" s="128"/>
      <c r="IK12" s="192"/>
      <c r="IL12" s="193"/>
      <c r="IM12" s="128"/>
      <c r="IN12" s="128"/>
      <c r="IO12" s="192"/>
      <c r="IP12" s="193"/>
      <c r="IQ12" s="128"/>
      <c r="IR12" s="128"/>
      <c r="IS12" s="128"/>
      <c r="IT12" s="128"/>
      <c r="IU12" s="128"/>
      <c r="IV12" s="128"/>
      <c r="IW12" s="128"/>
      <c r="IX12" s="128"/>
      <c r="IY12" s="128"/>
      <c r="IZ12" s="128"/>
      <c r="JA12" s="128"/>
      <c r="JB12" s="128"/>
      <c r="JC12" s="128"/>
      <c r="JD12" s="128"/>
      <c r="JE12" s="128"/>
      <c r="JF12" s="128"/>
      <c r="JH12" s="128"/>
      <c r="JI12" s="128"/>
      <c r="JJ12" s="128"/>
      <c r="JK12" s="128"/>
      <c r="JL12" s="128"/>
      <c r="JM12" s="128"/>
      <c r="JN12" s="128"/>
      <c r="JO12" s="128"/>
      <c r="JP12" s="128"/>
      <c r="JQ12" s="128"/>
      <c r="JR12" s="186"/>
      <c r="JS12" s="187"/>
      <c r="JT12" s="128"/>
      <c r="JU12" s="128"/>
      <c r="JV12" s="128"/>
      <c r="JW12" s="128"/>
      <c r="JX12" s="128"/>
      <c r="JY12" s="128"/>
      <c r="JZ12" s="128"/>
      <c r="KA12" s="128"/>
      <c r="KB12" s="128"/>
      <c r="KC12" s="128"/>
      <c r="KD12" s="128"/>
      <c r="KE12" s="128"/>
      <c r="KF12" s="186"/>
      <c r="KG12" s="187"/>
      <c r="KH12" s="128"/>
      <c r="KI12" s="128"/>
      <c r="KJ12" s="128"/>
      <c r="KK12" s="128"/>
      <c r="KL12" s="128">
        <v>79.38</v>
      </c>
      <c r="KM12" s="128">
        <v>16.91</v>
      </c>
    </row>
    <row r="13" spans="1:305" x14ac:dyDescent="0.3">
      <c r="A13" s="24">
        <v>9</v>
      </c>
      <c r="B13" s="25" t="s">
        <v>17</v>
      </c>
      <c r="C13" s="26" t="s">
        <v>47</v>
      </c>
      <c r="D13" s="213"/>
      <c r="E13" s="27">
        <f>122213.78+77757.09</f>
        <v>199970.87</v>
      </c>
      <c r="F13" s="216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03"/>
      <c r="V13" s="61"/>
      <c r="W13" s="27"/>
      <c r="X13" s="62"/>
      <c r="Y13" s="61"/>
      <c r="Z13" s="56"/>
      <c r="AA13" s="80"/>
      <c r="AB13" s="61"/>
      <c r="AC13" s="56"/>
      <c r="AD13" s="80"/>
      <c r="AE13" s="56"/>
      <c r="AF13" s="56"/>
      <c r="AG13" s="56"/>
      <c r="AH13" s="27"/>
      <c r="AI13" s="27"/>
      <c r="AJ13" s="27"/>
      <c r="AK13" s="27"/>
      <c r="AL13" s="27"/>
      <c r="AM13" s="27"/>
      <c r="AN13" s="186"/>
      <c r="AO13" s="223"/>
      <c r="AP13" s="187"/>
      <c r="AQ13" s="27"/>
      <c r="AR13" s="27"/>
      <c r="AS13" s="27"/>
      <c r="AT13" s="27"/>
      <c r="AU13" s="27"/>
      <c r="AV13" s="27"/>
      <c r="AW13" s="192"/>
      <c r="AX13" s="193"/>
      <c r="AY13" s="196"/>
      <c r="AZ13" s="192"/>
      <c r="BA13" s="193"/>
      <c r="BB13" s="196"/>
      <c r="BC13" s="27"/>
      <c r="BD13" s="27"/>
      <c r="BE13" s="27"/>
      <c r="BF13" s="27"/>
      <c r="BG13" s="27"/>
      <c r="BH13" s="27"/>
      <c r="BI13" s="228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C13" s="27"/>
      <c r="CD13" s="27"/>
      <c r="CE13" s="27"/>
      <c r="CF13" s="27"/>
      <c r="CG13" s="27"/>
      <c r="CH13" s="27"/>
      <c r="CI13" s="27"/>
      <c r="CJ13" s="27"/>
      <c r="CK13" s="53">
        <f>213.71/299.94*100</f>
        <v>71.250916850036674</v>
      </c>
      <c r="CL13" s="53">
        <f>101.78/199.98*100</f>
        <v>50.895089508950896</v>
      </c>
      <c r="CM13" s="53">
        <f>213.71/299.94*100</f>
        <v>71.250916850036674</v>
      </c>
      <c r="CN13" s="53">
        <f>102.9/199.98*100</f>
        <v>51.455145514551461</v>
      </c>
      <c r="CO13" s="232"/>
      <c r="CP13" s="233"/>
      <c r="CQ13" s="53">
        <f>213.71/299.94*100</f>
        <v>71.250916850036674</v>
      </c>
      <c r="CR13" s="53">
        <f>104.34/199.98*100</f>
        <v>52.175217521752181</v>
      </c>
      <c r="CS13" s="53">
        <f>214.4/299.94*100</f>
        <v>71.480962859238517</v>
      </c>
      <c r="CT13" s="53">
        <f>105.4/199.98*100</f>
        <v>52.705270527052704</v>
      </c>
      <c r="CU13" s="53">
        <f>214.72/299.94*100</f>
        <v>71.587650863506042</v>
      </c>
      <c r="CV13" s="53">
        <f>106.65/199.98*100</f>
        <v>53.330333033303333</v>
      </c>
      <c r="CW13" s="53">
        <f>215.03/299.94*100</f>
        <v>71.691004867640203</v>
      </c>
      <c r="CX13" s="53">
        <f>108.09/199.98*100</f>
        <v>54.05040504050406</v>
      </c>
      <c r="CY13" s="53">
        <f>215.14/299.94*100</f>
        <v>71.727678869107152</v>
      </c>
      <c r="CZ13" s="53">
        <f>108.78/199.98*100</f>
        <v>54.395439543954396</v>
      </c>
      <c r="DA13" s="192"/>
      <c r="DB13" s="193"/>
      <c r="DC13" s="192"/>
      <c r="DD13" s="193"/>
      <c r="DE13" s="53">
        <f>215.88/299.94*100</f>
        <v>71.974394878975787</v>
      </c>
      <c r="DF13" s="53">
        <f>111.84/199.98*100</f>
        <v>55.925592559255932</v>
      </c>
      <c r="DG13" s="53">
        <f>216.18/299.94*100</f>
        <v>72.074414882976598</v>
      </c>
      <c r="DH13" s="53">
        <f>113.03/199.98*100</f>
        <v>56.520652065206519</v>
      </c>
      <c r="DI13" s="53">
        <f>216.39/299.94*100</f>
        <v>72.14442888577716</v>
      </c>
      <c r="DJ13" s="53">
        <f>114.46/199.98*100</f>
        <v>57.23572357235723</v>
      </c>
      <c r="DK13" s="53">
        <f>180.81/299.94*100</f>
        <v>60.282056411282255</v>
      </c>
      <c r="DL13" s="53">
        <f>69.93/199.98*100</f>
        <v>34.968496849684968</v>
      </c>
      <c r="DM13" s="53">
        <f>181.01/299.94*100</f>
        <v>60.348736413949453</v>
      </c>
      <c r="DN13" s="53">
        <f>71.12/199.98*100</f>
        <v>35.563556355635569</v>
      </c>
      <c r="DO13" s="128">
        <f>181.28/299.94*100</f>
        <v>60.438754417550179</v>
      </c>
      <c r="DP13" s="128">
        <f>72.18/199.98*100</f>
        <v>36.0936093609361</v>
      </c>
      <c r="DQ13" s="192"/>
      <c r="DR13" s="193"/>
      <c r="DS13" s="128">
        <f>181.57/299.94*100</f>
        <v>60.535440421417618</v>
      </c>
      <c r="DT13" s="128">
        <f>74.62/199.98*100</f>
        <v>37.313731373137315</v>
      </c>
      <c r="DU13" s="128">
        <f>181.57/299.94*100</f>
        <v>60.535440421417618</v>
      </c>
      <c r="DV13" s="128">
        <f>74.62/199.98*100</f>
        <v>37.313731373137315</v>
      </c>
      <c r="DW13" s="192"/>
      <c r="DX13" s="193"/>
      <c r="DY13" s="128">
        <f>182.09/299.94*100</f>
        <v>60.708808428352334</v>
      </c>
      <c r="DZ13" s="128">
        <f>77.73/199.98*100</f>
        <v>38.868886888688877</v>
      </c>
      <c r="EA13" s="128">
        <f>182.24/299.94*100</f>
        <v>60.758818430352747</v>
      </c>
      <c r="EB13" s="128">
        <f>78.79/199.98*100</f>
        <v>39.398939893989407</v>
      </c>
      <c r="EC13" s="128">
        <f>182.45/299.94*100</f>
        <v>60.828832433153288</v>
      </c>
      <c r="ED13" s="128">
        <f>78.73/199.98*100</f>
        <v>39.368936893689373</v>
      </c>
      <c r="EE13" s="192"/>
      <c r="EF13" s="193"/>
      <c r="EG13" s="27"/>
      <c r="EH13" s="27"/>
      <c r="EI13" s="128">
        <f>182.9/299.94*100</f>
        <v>60.978862439154504</v>
      </c>
      <c r="EJ13" s="128">
        <f>41.49/199.98*100</f>
        <v>20.747074707470752</v>
      </c>
      <c r="EL13" s="27"/>
      <c r="EM13" s="27"/>
      <c r="EN13" s="192"/>
      <c r="EO13" s="193"/>
      <c r="EP13" s="128">
        <f>183.63/299.94*100</f>
        <v>61.222244448889775</v>
      </c>
      <c r="EQ13" s="128">
        <f>88.1/199.98*100</f>
        <v>44.054405440544052</v>
      </c>
      <c r="ER13" s="128">
        <f>183.75/299.94*100</f>
        <v>61.262252450490095</v>
      </c>
      <c r="ES13" s="128">
        <f>89.17/199.98*100</f>
        <v>44.589458945894592</v>
      </c>
      <c r="ET13" s="192"/>
      <c r="EU13" s="193"/>
      <c r="EV13" s="128">
        <f>183.98/299.94*100</f>
        <v>61.338934453557371</v>
      </c>
      <c r="EW13" s="128">
        <f>91.29/199.98*100</f>
        <v>45.649564956495652</v>
      </c>
      <c r="EX13" s="128">
        <f>184.15/299.94*100</f>
        <v>61.395612455824498</v>
      </c>
      <c r="EY13" s="128">
        <f>92.29/199.98*100</f>
        <v>46.149614961496155</v>
      </c>
      <c r="EZ13" s="128">
        <f>184.34/299.94*100</f>
        <v>61.458958458358339</v>
      </c>
      <c r="FA13" s="128">
        <f>93.48/199.98*100</f>
        <v>46.74467446744675</v>
      </c>
      <c r="FB13" s="128">
        <v>61.49</v>
      </c>
      <c r="FC13" s="128">
        <v>47.34</v>
      </c>
      <c r="FD13" s="128">
        <v>61.59</v>
      </c>
      <c r="FE13" s="128">
        <v>47.93</v>
      </c>
      <c r="FF13" s="128">
        <v>61.59</v>
      </c>
      <c r="FG13" s="128">
        <v>47.93</v>
      </c>
      <c r="FH13" s="192"/>
      <c r="FI13" s="193"/>
      <c r="FJ13" s="128">
        <v>61.85</v>
      </c>
      <c r="FK13" s="128">
        <v>49.99</v>
      </c>
      <c r="FL13" s="128">
        <v>62</v>
      </c>
      <c r="FM13" s="128">
        <v>50.62</v>
      </c>
      <c r="FN13" s="128">
        <v>62.06</v>
      </c>
      <c r="FO13" s="128">
        <v>51.21</v>
      </c>
      <c r="FP13" s="128">
        <v>63.18</v>
      </c>
      <c r="FQ13" s="128">
        <v>52.27</v>
      </c>
      <c r="FR13" s="128">
        <v>63.33</v>
      </c>
      <c r="FS13" s="128">
        <v>53.84</v>
      </c>
      <c r="FT13" s="192"/>
      <c r="FU13" s="193"/>
      <c r="FV13" s="192"/>
      <c r="FW13" s="193"/>
      <c r="FX13" s="128">
        <v>63.57</v>
      </c>
      <c r="FY13" s="128">
        <v>55.96</v>
      </c>
      <c r="FZ13" s="128">
        <v>63.66</v>
      </c>
      <c r="GA13" s="128">
        <v>56.31</v>
      </c>
      <c r="GB13" s="128">
        <v>63.66</v>
      </c>
      <c r="GC13" s="128">
        <v>56.31</v>
      </c>
      <c r="GD13" s="128">
        <v>63.78</v>
      </c>
      <c r="GE13" s="128">
        <v>57.21</v>
      </c>
      <c r="GF13" s="128">
        <v>63.86</v>
      </c>
      <c r="GG13" s="128">
        <v>57.99</v>
      </c>
      <c r="GH13" s="128"/>
      <c r="GI13" s="128"/>
      <c r="GJ13" s="192"/>
      <c r="GK13" s="193"/>
      <c r="GL13" s="128">
        <v>64.680000000000007</v>
      </c>
      <c r="GM13" s="128">
        <v>80.900000000000006</v>
      </c>
      <c r="GN13" s="128">
        <v>64.75</v>
      </c>
      <c r="GO13" s="128">
        <v>81.739999999999995</v>
      </c>
      <c r="GP13" s="27">
        <v>64.849999999999994</v>
      </c>
      <c r="GQ13" s="27">
        <v>83.24</v>
      </c>
      <c r="GR13" s="27">
        <v>64.849999999999994</v>
      </c>
      <c r="GS13" s="27">
        <v>83.24</v>
      </c>
      <c r="GT13" s="27">
        <v>64.849999999999994</v>
      </c>
      <c r="GU13" s="27">
        <v>83.24</v>
      </c>
      <c r="GW13" s="27">
        <v>64.849999999999994</v>
      </c>
      <c r="GX13" s="27">
        <v>83.24</v>
      </c>
      <c r="GY13" s="192"/>
      <c r="GZ13" s="193"/>
      <c r="HA13" s="192"/>
      <c r="HB13" s="193"/>
      <c r="HC13" s="128">
        <v>65.099999999999994</v>
      </c>
      <c r="HD13" s="128">
        <v>87.24</v>
      </c>
      <c r="HE13" s="128"/>
      <c r="HF13" s="128"/>
      <c r="HG13" s="192"/>
      <c r="HH13" s="193"/>
      <c r="HI13" s="192"/>
      <c r="HJ13" s="193"/>
      <c r="HK13" s="128">
        <v>65.31</v>
      </c>
      <c r="HL13" s="152">
        <v>90.18</v>
      </c>
      <c r="HM13" s="192"/>
      <c r="HN13" s="193"/>
      <c r="HO13" s="128">
        <v>65.5</v>
      </c>
      <c r="HP13" s="128">
        <v>16.899999999999999</v>
      </c>
      <c r="HQ13" s="128">
        <v>65.5</v>
      </c>
      <c r="HR13" s="128">
        <v>16.899999999999999</v>
      </c>
      <c r="HS13" s="128">
        <v>65.56</v>
      </c>
      <c r="HT13" s="128">
        <v>19.559999999999999</v>
      </c>
      <c r="HU13" s="128"/>
      <c r="HV13" s="128"/>
      <c r="HW13" s="128"/>
      <c r="HX13" s="128"/>
      <c r="HY13" s="128">
        <v>65.87</v>
      </c>
      <c r="HZ13" s="128">
        <v>31.41</v>
      </c>
      <c r="IA13" s="128">
        <v>65.87</v>
      </c>
      <c r="IB13" s="128">
        <v>31.41</v>
      </c>
      <c r="IC13" s="128">
        <v>65.97</v>
      </c>
      <c r="ID13" s="128">
        <v>35.92</v>
      </c>
      <c r="IE13" s="128">
        <v>65.97</v>
      </c>
      <c r="IF13" s="128">
        <v>35.92</v>
      </c>
      <c r="IG13" s="128">
        <v>65.97</v>
      </c>
      <c r="IH13" s="128">
        <v>35.92</v>
      </c>
      <c r="II13" s="128"/>
      <c r="IJ13" s="128"/>
      <c r="IK13" s="192"/>
      <c r="IL13" s="193"/>
      <c r="IM13" s="128"/>
      <c r="IN13" s="128"/>
      <c r="IO13" s="192"/>
      <c r="IP13" s="193"/>
      <c r="IQ13" s="128">
        <v>66.099999999999994</v>
      </c>
      <c r="IR13" s="128">
        <v>46.63</v>
      </c>
      <c r="IS13" s="128">
        <v>66.099999999999994</v>
      </c>
      <c r="IT13" s="128">
        <v>46.63</v>
      </c>
      <c r="IU13" s="128">
        <v>66.099999999999994</v>
      </c>
      <c r="IV13" s="128">
        <v>46.63</v>
      </c>
      <c r="IW13" s="128"/>
      <c r="IX13" s="128"/>
      <c r="IY13" s="128"/>
      <c r="IZ13" s="128"/>
      <c r="JA13" s="128">
        <v>68.16</v>
      </c>
      <c r="JB13" s="128">
        <v>49.45</v>
      </c>
      <c r="JC13" s="128"/>
      <c r="JD13" s="128"/>
      <c r="JE13" s="128">
        <v>68.16</v>
      </c>
      <c r="JF13" s="128">
        <v>49.45</v>
      </c>
      <c r="JH13" s="128"/>
      <c r="JI13" s="128"/>
      <c r="JJ13" s="128"/>
      <c r="JK13" s="128"/>
      <c r="JL13" s="128"/>
      <c r="JM13" s="128"/>
      <c r="JN13" s="128"/>
      <c r="JO13" s="128"/>
      <c r="JP13" s="128">
        <v>68.400000000000006</v>
      </c>
      <c r="JQ13" s="128">
        <v>49.45</v>
      </c>
      <c r="JR13" s="186"/>
      <c r="JS13" s="187"/>
      <c r="JT13" s="128">
        <v>68.400000000000006</v>
      </c>
      <c r="JU13" s="128">
        <v>49.45</v>
      </c>
      <c r="JV13" s="128">
        <v>68.62</v>
      </c>
      <c r="JW13" s="128">
        <v>49.7</v>
      </c>
      <c r="JX13" s="128">
        <v>68.62</v>
      </c>
      <c r="JY13" s="128">
        <v>49.7</v>
      </c>
      <c r="JZ13" s="128">
        <v>68.62</v>
      </c>
      <c r="KA13" s="128">
        <v>49.7</v>
      </c>
      <c r="KB13" s="128">
        <v>68.62</v>
      </c>
      <c r="KC13" s="128">
        <v>49.7</v>
      </c>
      <c r="KD13" s="128">
        <v>68.62</v>
      </c>
      <c r="KE13" s="128">
        <v>49.7</v>
      </c>
      <c r="KF13" s="186"/>
      <c r="KG13" s="187"/>
      <c r="KH13" s="128">
        <v>68.62</v>
      </c>
      <c r="KI13" s="128">
        <v>49.7</v>
      </c>
      <c r="KJ13" s="128">
        <v>68.62</v>
      </c>
      <c r="KK13" s="128">
        <v>49.7</v>
      </c>
      <c r="KL13" s="128">
        <v>69.19</v>
      </c>
      <c r="KM13" s="128">
        <v>49.7</v>
      </c>
    </row>
    <row r="14" spans="1:305" x14ac:dyDescent="0.3">
      <c r="A14" s="24">
        <v>10</v>
      </c>
      <c r="B14" s="25" t="s">
        <v>18</v>
      </c>
      <c r="C14" s="26" t="s">
        <v>47</v>
      </c>
      <c r="D14" s="213"/>
      <c r="E14" s="27"/>
      <c r="F14" s="216"/>
      <c r="G14" s="27"/>
      <c r="H14" s="53"/>
      <c r="I14" s="61"/>
      <c r="J14" s="27"/>
      <c r="K14" s="62"/>
      <c r="L14" s="56"/>
      <c r="M14" s="27"/>
      <c r="N14" s="62"/>
      <c r="O14" s="61"/>
      <c r="P14" s="27"/>
      <c r="Q14" s="62"/>
      <c r="R14" s="56"/>
      <c r="S14" s="27"/>
      <c r="T14" s="62"/>
      <c r="U14" s="203"/>
      <c r="V14" s="61"/>
      <c r="W14" s="27"/>
      <c r="X14" s="62"/>
      <c r="Y14" s="61"/>
      <c r="Z14" s="56"/>
      <c r="AA14" s="80"/>
      <c r="AB14" s="61"/>
      <c r="AC14" s="56"/>
      <c r="AD14" s="80"/>
      <c r="AE14" s="56"/>
      <c r="AF14" s="56"/>
      <c r="AG14" s="56"/>
      <c r="AH14" s="27"/>
      <c r="AI14" s="27"/>
      <c r="AJ14" s="27"/>
      <c r="AK14" s="27"/>
      <c r="AL14" s="27"/>
      <c r="AM14" s="27"/>
      <c r="AN14" s="186"/>
      <c r="AO14" s="223"/>
      <c r="AP14" s="187"/>
      <c r="AQ14" s="27"/>
      <c r="AR14" s="27"/>
      <c r="AS14" s="27"/>
      <c r="AT14" s="27"/>
      <c r="AU14" s="27"/>
      <c r="AV14" s="27"/>
      <c r="AW14" s="192"/>
      <c r="AX14" s="193"/>
      <c r="AY14" s="196"/>
      <c r="AZ14" s="192"/>
      <c r="BA14" s="193"/>
      <c r="BB14" s="196"/>
      <c r="BC14" s="27"/>
      <c r="BD14" s="27"/>
      <c r="BE14" s="27"/>
      <c r="BF14" s="27"/>
      <c r="BG14" s="27"/>
      <c r="BH14" s="27"/>
      <c r="BI14" s="228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C14" s="53"/>
      <c r="CD14" s="53"/>
      <c r="CE14" s="61"/>
      <c r="CF14" s="27"/>
      <c r="CG14" s="56"/>
      <c r="CH14" s="27"/>
      <c r="CI14" s="61"/>
      <c r="CJ14" s="27"/>
      <c r="CK14" s="27"/>
      <c r="CL14" s="62"/>
      <c r="CM14" s="61"/>
      <c r="CN14" s="62"/>
      <c r="CO14" s="232"/>
      <c r="CP14" s="233"/>
      <c r="CQ14" s="61"/>
      <c r="CR14" s="56"/>
      <c r="CS14" s="56"/>
      <c r="CT14" s="56"/>
      <c r="CU14" s="27"/>
      <c r="CV14" s="27"/>
      <c r="CW14" s="27"/>
      <c r="CX14" s="27"/>
      <c r="CY14" s="27"/>
      <c r="CZ14" s="27"/>
      <c r="DA14" s="192"/>
      <c r="DB14" s="193"/>
      <c r="DC14" s="192"/>
      <c r="DD14" s="193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130"/>
      <c r="DP14" s="130"/>
      <c r="DQ14" s="192"/>
      <c r="DR14" s="193"/>
      <c r="DS14" s="27"/>
      <c r="DT14" s="27"/>
      <c r="DU14" s="27"/>
      <c r="DV14" s="27"/>
      <c r="DW14" s="192"/>
      <c r="DX14" s="193"/>
      <c r="DY14" s="27"/>
      <c r="DZ14" s="27"/>
      <c r="EA14" s="27"/>
      <c r="EB14" s="27"/>
      <c r="EC14" s="27"/>
      <c r="ED14" s="27"/>
      <c r="EE14" s="192"/>
      <c r="EF14" s="193"/>
      <c r="EG14" s="27"/>
      <c r="EH14" s="27"/>
      <c r="EI14" s="27"/>
      <c r="EJ14" s="27"/>
      <c r="EL14" s="53"/>
      <c r="EM14" s="53"/>
      <c r="EN14" s="192"/>
      <c r="EO14" s="193"/>
      <c r="EP14" s="56"/>
      <c r="EQ14" s="27"/>
      <c r="ER14" s="61"/>
      <c r="ES14" s="27"/>
      <c r="ET14" s="192"/>
      <c r="EU14" s="193"/>
      <c r="EV14" s="61"/>
      <c r="EW14" s="27"/>
      <c r="EX14" s="61"/>
      <c r="EY14" s="27"/>
      <c r="EZ14" s="61"/>
      <c r="FA14" s="27"/>
      <c r="FB14" s="61"/>
      <c r="FC14" s="27"/>
      <c r="FD14" s="27"/>
      <c r="FE14" s="27"/>
      <c r="FF14" s="27"/>
      <c r="FG14" s="27"/>
      <c r="FH14" s="192"/>
      <c r="FI14" s="193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192"/>
      <c r="FU14" s="193"/>
      <c r="FV14" s="192"/>
      <c r="FW14" s="193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192"/>
      <c r="GK14" s="193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W14" s="27"/>
      <c r="GX14" s="27"/>
      <c r="GY14" s="192"/>
      <c r="GZ14" s="193"/>
      <c r="HA14" s="192"/>
      <c r="HB14" s="193"/>
      <c r="HC14" s="61"/>
      <c r="HD14" s="27"/>
      <c r="HE14" s="61"/>
      <c r="HF14" s="27"/>
      <c r="HG14" s="192"/>
      <c r="HH14" s="193"/>
      <c r="HI14" s="192"/>
      <c r="HJ14" s="193"/>
      <c r="HK14" s="61"/>
      <c r="HL14" s="27"/>
      <c r="HM14" s="192"/>
      <c r="HN14" s="193"/>
      <c r="HO14" s="27"/>
      <c r="HP14" s="27"/>
      <c r="HQ14" s="27"/>
      <c r="HR14" s="27"/>
      <c r="HS14" s="27"/>
      <c r="HT14" s="27"/>
      <c r="HU14" s="27"/>
      <c r="HV14" s="27"/>
      <c r="HW14" s="27"/>
      <c r="HX14" s="27"/>
      <c r="HY14" s="27"/>
      <c r="HZ14" s="27"/>
      <c r="IA14" s="27"/>
      <c r="IB14" s="27"/>
      <c r="IC14" s="27"/>
      <c r="ID14" s="27"/>
      <c r="IE14" s="27"/>
      <c r="IF14" s="27"/>
      <c r="IG14" s="27"/>
      <c r="IH14" s="27"/>
      <c r="II14" s="27"/>
      <c r="IJ14" s="27"/>
      <c r="IK14" s="192"/>
      <c r="IL14" s="193"/>
      <c r="IM14" s="27"/>
      <c r="IN14" s="27"/>
      <c r="IO14" s="192"/>
      <c r="IP14" s="193"/>
      <c r="IQ14" s="27"/>
      <c r="IR14" s="27"/>
      <c r="IS14" s="27"/>
      <c r="IT14" s="27"/>
      <c r="IU14" s="27"/>
      <c r="IV14" s="27"/>
      <c r="IW14" s="27"/>
      <c r="IX14" s="27"/>
      <c r="IY14" s="27"/>
      <c r="IZ14" s="27"/>
      <c r="JA14" s="27"/>
      <c r="JB14" s="27"/>
      <c r="JC14" s="27"/>
      <c r="JD14" s="27"/>
      <c r="JE14" s="27"/>
      <c r="JF14" s="27"/>
      <c r="JH14" s="27"/>
      <c r="JI14" s="27"/>
      <c r="JJ14" s="27"/>
      <c r="JK14" s="27"/>
      <c r="JL14" s="27"/>
      <c r="JM14" s="27"/>
      <c r="JN14" s="27"/>
      <c r="JO14" s="27"/>
      <c r="JP14" s="27"/>
      <c r="JQ14" s="27"/>
      <c r="JR14" s="186"/>
      <c r="JS14" s="187"/>
      <c r="JT14" s="27"/>
      <c r="JU14" s="27"/>
      <c r="JV14" s="27"/>
      <c r="JW14" s="27"/>
      <c r="JX14" s="27"/>
      <c r="JY14" s="27"/>
      <c r="JZ14" s="27"/>
      <c r="KA14" s="27"/>
      <c r="KB14" s="27"/>
      <c r="KC14" s="27"/>
      <c r="KD14" s="27"/>
      <c r="KE14" s="27"/>
      <c r="KF14" s="186"/>
      <c r="KG14" s="187"/>
      <c r="KH14" s="27"/>
      <c r="KI14" s="27"/>
      <c r="KJ14" s="27"/>
      <c r="KK14" s="27"/>
      <c r="KL14" s="27"/>
      <c r="KM14" s="27"/>
    </row>
    <row r="15" spans="1:305" x14ac:dyDescent="0.3">
      <c r="A15" s="24">
        <v>11</v>
      </c>
      <c r="B15" s="25" t="s">
        <v>19</v>
      </c>
      <c r="C15" s="26" t="s">
        <v>47</v>
      </c>
      <c r="D15" s="213"/>
      <c r="E15" s="27"/>
      <c r="F15" s="216"/>
      <c r="G15" s="27"/>
      <c r="H15" s="53"/>
      <c r="I15" s="61"/>
      <c r="J15" s="27"/>
      <c r="K15" s="62"/>
      <c r="L15" s="56"/>
      <c r="M15" s="27"/>
      <c r="N15" s="62"/>
      <c r="O15" s="61"/>
      <c r="P15" s="27"/>
      <c r="Q15" s="62"/>
      <c r="R15" s="56"/>
      <c r="S15" s="27"/>
      <c r="T15" s="62"/>
      <c r="U15" s="203"/>
      <c r="V15" s="61"/>
      <c r="W15" s="27"/>
      <c r="X15" s="62"/>
      <c r="Y15" s="61"/>
      <c r="Z15" s="56"/>
      <c r="AA15" s="80"/>
      <c r="AB15" s="61"/>
      <c r="AC15" s="56"/>
      <c r="AD15" s="80"/>
      <c r="AE15" s="56"/>
      <c r="AF15" s="56"/>
      <c r="AG15" s="56"/>
      <c r="AH15" s="27"/>
      <c r="AI15" s="27"/>
      <c r="AJ15" s="27"/>
      <c r="AK15" s="27"/>
      <c r="AL15" s="27"/>
      <c r="AM15" s="27"/>
      <c r="AN15" s="186"/>
      <c r="AO15" s="223"/>
      <c r="AP15" s="187"/>
      <c r="AQ15" s="27"/>
      <c r="AR15" s="27"/>
      <c r="AS15" s="27"/>
      <c r="AT15" s="27"/>
      <c r="AU15" s="27"/>
      <c r="AV15" s="27"/>
      <c r="AW15" s="192"/>
      <c r="AX15" s="193"/>
      <c r="AY15" s="196"/>
      <c r="AZ15" s="192"/>
      <c r="BA15" s="193"/>
      <c r="BB15" s="196"/>
      <c r="BC15" s="27"/>
      <c r="BD15" s="27"/>
      <c r="BE15" s="27"/>
      <c r="BF15" s="27"/>
      <c r="BG15" s="27"/>
      <c r="BH15" s="27"/>
      <c r="BI15" s="228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C15" s="53"/>
      <c r="CD15" s="53"/>
      <c r="CE15" s="61"/>
      <c r="CF15" s="27"/>
      <c r="CG15" s="56"/>
      <c r="CH15" s="27"/>
      <c r="CI15" s="61"/>
      <c r="CJ15" s="27"/>
      <c r="CK15" s="27"/>
      <c r="CL15" s="62"/>
      <c r="CM15" s="61"/>
      <c r="CN15" s="62"/>
      <c r="CO15" s="232"/>
      <c r="CP15" s="233"/>
      <c r="CQ15" s="61"/>
      <c r="CR15" s="56"/>
      <c r="CS15" s="56"/>
      <c r="CT15" s="56"/>
      <c r="CU15" s="27"/>
      <c r="CV15" s="27"/>
      <c r="CW15" s="27"/>
      <c r="CX15" s="27"/>
      <c r="CY15" s="27"/>
      <c r="CZ15" s="27"/>
      <c r="DA15" s="192"/>
      <c r="DB15" s="193"/>
      <c r="DC15" s="192"/>
      <c r="DD15" s="193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130"/>
      <c r="DP15" s="130"/>
      <c r="DQ15" s="192"/>
      <c r="DR15" s="193"/>
      <c r="DS15" s="27"/>
      <c r="DT15" s="27"/>
      <c r="DU15" s="27"/>
      <c r="DV15" s="27"/>
      <c r="DW15" s="192"/>
      <c r="DX15" s="193"/>
      <c r="DY15" s="27"/>
      <c r="DZ15" s="27"/>
      <c r="EA15" s="27"/>
      <c r="EB15" s="27"/>
      <c r="EC15" s="27"/>
      <c r="ED15" s="27"/>
      <c r="EE15" s="192"/>
      <c r="EF15" s="193"/>
      <c r="EG15" s="27"/>
      <c r="EH15" s="27"/>
      <c r="EI15" s="27"/>
      <c r="EJ15" s="27"/>
      <c r="EL15" s="53"/>
      <c r="EM15" s="53"/>
      <c r="EN15" s="192"/>
      <c r="EO15" s="193"/>
      <c r="EP15" s="56"/>
      <c r="EQ15" s="27"/>
      <c r="ER15" s="61"/>
      <c r="ES15" s="27"/>
      <c r="ET15" s="192"/>
      <c r="EU15" s="193"/>
      <c r="EV15" s="61"/>
      <c r="EW15" s="27"/>
      <c r="EX15" s="61"/>
      <c r="EY15" s="27"/>
      <c r="EZ15" s="61"/>
      <c r="FA15" s="27"/>
      <c r="FB15" s="61"/>
      <c r="FC15" s="27"/>
      <c r="FD15" s="27"/>
      <c r="FE15" s="27"/>
      <c r="FF15" s="27"/>
      <c r="FG15" s="27"/>
      <c r="FH15" s="192"/>
      <c r="FI15" s="193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192"/>
      <c r="FU15" s="193"/>
      <c r="FV15" s="192"/>
      <c r="FW15" s="193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192"/>
      <c r="GK15" s="193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W15" s="27"/>
      <c r="GX15" s="27"/>
      <c r="GY15" s="192"/>
      <c r="GZ15" s="193"/>
      <c r="HA15" s="192"/>
      <c r="HB15" s="193"/>
      <c r="HC15" s="61"/>
      <c r="HD15" s="27"/>
      <c r="HE15" s="61"/>
      <c r="HF15" s="27"/>
      <c r="HG15" s="192"/>
      <c r="HH15" s="193"/>
      <c r="HI15" s="192"/>
      <c r="HJ15" s="193"/>
      <c r="HK15" s="61"/>
      <c r="HL15" s="27"/>
      <c r="HM15" s="192"/>
      <c r="HN15" s="193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192"/>
      <c r="IL15" s="193"/>
      <c r="IM15" s="27"/>
      <c r="IN15" s="27"/>
      <c r="IO15" s="192"/>
      <c r="IP15" s="193"/>
      <c r="IQ15" s="27"/>
      <c r="IR15" s="27"/>
      <c r="IS15" s="27"/>
      <c r="IT15" s="27"/>
      <c r="IU15" s="27"/>
      <c r="IV15" s="27"/>
      <c r="IW15" s="27"/>
      <c r="IX15" s="27"/>
      <c r="IY15" s="27"/>
      <c r="IZ15" s="27"/>
      <c r="JA15" s="27"/>
      <c r="JB15" s="27"/>
      <c r="JC15" s="27"/>
      <c r="JD15" s="27"/>
      <c r="JE15" s="27"/>
      <c r="JF15" s="27"/>
      <c r="JH15" s="27"/>
      <c r="JI15" s="27"/>
      <c r="JJ15" s="27"/>
      <c r="JK15" s="27"/>
      <c r="JL15" s="27"/>
      <c r="JM15" s="27"/>
      <c r="JN15" s="27"/>
      <c r="JO15" s="27"/>
      <c r="JP15" s="27"/>
      <c r="JQ15" s="27"/>
      <c r="JR15" s="186"/>
      <c r="JS15" s="187"/>
      <c r="JT15" s="27"/>
      <c r="JU15" s="27"/>
      <c r="JV15" s="27"/>
      <c r="JW15" s="27"/>
      <c r="JX15" s="27"/>
      <c r="JY15" s="27"/>
      <c r="JZ15" s="27"/>
      <c r="KA15" s="27"/>
      <c r="KB15" s="27"/>
      <c r="KC15" s="27"/>
      <c r="KD15" s="27"/>
      <c r="KE15" s="27"/>
      <c r="KF15" s="186"/>
      <c r="KG15" s="187"/>
      <c r="KH15" s="27"/>
      <c r="KI15" s="27"/>
      <c r="KJ15" s="27"/>
      <c r="KK15" s="27"/>
      <c r="KL15" s="27"/>
      <c r="KM15" s="27"/>
    </row>
    <row r="16" spans="1:305" x14ac:dyDescent="0.3">
      <c r="A16" s="5">
        <v>12</v>
      </c>
      <c r="B16" s="4" t="s">
        <v>20</v>
      </c>
      <c r="C16" s="6" t="s">
        <v>51</v>
      </c>
      <c r="D16" s="213"/>
      <c r="E16" s="14">
        <f>491870.75+36914.81</f>
        <v>528785.56000000006</v>
      </c>
      <c r="F16" s="216"/>
      <c r="G16" s="14">
        <f>491870.75+48364.25</f>
        <v>540235</v>
      </c>
      <c r="H16" s="72">
        <f>491870.75+34561.62</f>
        <v>526432.37</v>
      </c>
      <c r="I16" s="45">
        <f>491870.75+43582.97</f>
        <v>535453.72</v>
      </c>
      <c r="J16" s="22">
        <v>0.87339999999999995</v>
      </c>
      <c r="K16" s="60">
        <v>0.2838</v>
      </c>
      <c r="L16" s="55">
        <f>491870.75+56640.52</f>
        <v>548511.27</v>
      </c>
      <c r="M16" s="22">
        <v>0.87339999999999995</v>
      </c>
      <c r="N16" s="60">
        <v>0.36880000000000002</v>
      </c>
      <c r="O16" s="45">
        <f>491870.75+58102.43</f>
        <v>549973.18000000005</v>
      </c>
      <c r="P16" s="51">
        <v>0.87339999999999995</v>
      </c>
      <c r="Q16" s="60">
        <v>0.37830000000000003</v>
      </c>
      <c r="R16" s="55">
        <f>491870.75+46105.11</f>
        <v>537975.86</v>
      </c>
      <c r="S16" s="51">
        <v>0.87339999999999995</v>
      </c>
      <c r="T16" s="60">
        <v>0.30020000000000002</v>
      </c>
      <c r="U16" s="203"/>
      <c r="V16" s="45">
        <f>491870.75+58570.58</f>
        <v>550441.32999999996</v>
      </c>
      <c r="W16" s="51">
        <v>0.87339999999999995</v>
      </c>
      <c r="X16" s="60">
        <v>0.38140000000000002</v>
      </c>
      <c r="Y16" s="45">
        <f>491870.75+41469.35</f>
        <v>533340.1</v>
      </c>
      <c r="Z16" s="78">
        <v>0.87339999999999995</v>
      </c>
      <c r="AA16" s="81">
        <v>0.27</v>
      </c>
      <c r="AB16" s="45">
        <f>491870.75+53227.37</f>
        <v>545098.12</v>
      </c>
      <c r="AC16" s="78">
        <v>0.87339999999999995</v>
      </c>
      <c r="AD16" s="79">
        <v>0.34660000000000002</v>
      </c>
      <c r="AE16" s="55">
        <f>491870.75+43278.46</f>
        <v>535149.21</v>
      </c>
      <c r="AF16" s="78">
        <v>0.87339999999999995</v>
      </c>
      <c r="AG16" s="77">
        <v>0.28179999999999999</v>
      </c>
      <c r="AH16" s="14">
        <f>491870.75+44882.9</f>
        <v>536753.65</v>
      </c>
      <c r="AI16" s="78">
        <v>0.87339999999999995</v>
      </c>
      <c r="AJ16" s="22">
        <v>0.29220000000000002</v>
      </c>
      <c r="AK16" s="14">
        <f>491870.75+46614.23</f>
        <v>538484.98</v>
      </c>
      <c r="AL16" s="78">
        <v>0.87339999999999995</v>
      </c>
      <c r="AM16" s="22">
        <v>0.30349999999999999</v>
      </c>
      <c r="AN16" s="186"/>
      <c r="AO16" s="223"/>
      <c r="AP16" s="187"/>
      <c r="AQ16" s="14">
        <f>491870.75+46972.02</f>
        <v>538842.77</v>
      </c>
      <c r="AR16" s="78">
        <v>0.87339999999999995</v>
      </c>
      <c r="AS16" s="22">
        <v>0.30380000000000001</v>
      </c>
      <c r="AT16" s="14">
        <f>491870.75+38947.44</f>
        <v>530818.18999999994</v>
      </c>
      <c r="AU16" s="78">
        <v>0.87339999999999995</v>
      </c>
      <c r="AV16" s="22">
        <v>0.25359999999999999</v>
      </c>
      <c r="AW16" s="192"/>
      <c r="AX16" s="193"/>
      <c r="AY16" s="196"/>
      <c r="AZ16" s="192"/>
      <c r="BA16" s="193"/>
      <c r="BB16" s="196"/>
      <c r="BC16" s="14">
        <f>491870.75+82845.9</f>
        <v>574716.65</v>
      </c>
      <c r="BD16" s="51">
        <v>0.87339999999999995</v>
      </c>
      <c r="BE16" s="22">
        <v>0.53939999999999999</v>
      </c>
      <c r="BF16" s="14"/>
      <c r="BG16" s="14"/>
      <c r="BH16" s="14"/>
      <c r="BI16" s="228"/>
      <c r="BJ16" s="14">
        <f>546014.75+75943.29</f>
        <v>621958.04</v>
      </c>
      <c r="BK16" s="51">
        <v>0.96950000000000003</v>
      </c>
      <c r="BL16" s="22">
        <v>0.4945</v>
      </c>
      <c r="BM16" s="14">
        <f>548062.75+94986.85</f>
        <v>643049.6</v>
      </c>
      <c r="BN16" s="51">
        <v>0.97319999999999995</v>
      </c>
      <c r="BO16" s="22">
        <v>0.61850000000000005</v>
      </c>
      <c r="BP16" s="14">
        <f>548062.75+85530.78</f>
        <v>633593.53</v>
      </c>
      <c r="BQ16" s="51">
        <v>0.97319999999999995</v>
      </c>
      <c r="BR16" s="22">
        <v>0.55689999999999995</v>
      </c>
      <c r="BS16" s="14">
        <f>548062.75+51515.34</f>
        <v>599578.09</v>
      </c>
      <c r="BT16" s="51">
        <v>0.97319999999999995</v>
      </c>
      <c r="BU16" s="22">
        <v>0.33539999999999998</v>
      </c>
      <c r="BV16" s="14">
        <f>548062.75+51043.89</f>
        <v>599106.64</v>
      </c>
      <c r="BW16" s="51">
        <v>0.97319999999999995</v>
      </c>
      <c r="BX16" s="22">
        <v>0.33239999999999997</v>
      </c>
      <c r="BY16" s="14">
        <f>548062.75+49448.05</f>
        <v>597510.80000000005</v>
      </c>
      <c r="BZ16" s="51">
        <v>0.97319999999999995</v>
      </c>
      <c r="CA16" s="22">
        <v>0.32200000000000001</v>
      </c>
      <c r="CC16" s="106">
        <f>535.22/549.98*100</f>
        <v>97.316266046038038</v>
      </c>
      <c r="CD16" s="72">
        <f>46.52/149.98*100</f>
        <v>31.017468995866121</v>
      </c>
      <c r="CE16" s="106">
        <f>535.22/549.98*100</f>
        <v>97.316266046038038</v>
      </c>
      <c r="CF16" s="72">
        <f>51.51/149.98*100</f>
        <v>34.344579277236967</v>
      </c>
      <c r="CG16" s="106">
        <f>535.22/549.98*100</f>
        <v>97.316266046038038</v>
      </c>
      <c r="CH16" s="72">
        <f>52.15/149.98*100</f>
        <v>34.771302840378723</v>
      </c>
      <c r="CI16" s="106">
        <f>535.22/549.98*100</f>
        <v>97.316266046038038</v>
      </c>
      <c r="CJ16" s="72">
        <f>62.77/149.98*100</f>
        <v>41.852246966262172</v>
      </c>
      <c r="CK16" s="106">
        <f>535.22/549.98*100</f>
        <v>97.316266046038038</v>
      </c>
      <c r="CL16" s="72">
        <f>71.37/149.98*100</f>
        <v>47.586344845979475</v>
      </c>
      <c r="CM16" s="106">
        <f>535.22/549.98*100</f>
        <v>97.316266046038038</v>
      </c>
      <c r="CN16" s="72">
        <f>65.62/149.98*100</f>
        <v>43.752500333377789</v>
      </c>
      <c r="CO16" s="232"/>
      <c r="CP16" s="233"/>
      <c r="CQ16" s="106">
        <f>535.22/549.98*100</f>
        <v>97.316266046038038</v>
      </c>
      <c r="CR16" s="72">
        <f>48.74/149.98*100</f>
        <v>32.49766635551407</v>
      </c>
      <c r="CS16" s="106">
        <f>535.22/549.98*100</f>
        <v>97.316266046038038</v>
      </c>
      <c r="CT16" s="72">
        <f>51.53/149.98*100</f>
        <v>34.357914388585151</v>
      </c>
      <c r="CU16" s="106">
        <f>535.22/549.98*100</f>
        <v>97.316266046038038</v>
      </c>
      <c r="CV16" s="72">
        <f>58.37/149.98*100</f>
        <v>38.918522469662626</v>
      </c>
      <c r="CW16" s="106">
        <f>535.22/549.98*100</f>
        <v>97.316266046038038</v>
      </c>
      <c r="CX16" s="72">
        <f>66.52/149.98*100</f>
        <v>44.352580344045869</v>
      </c>
      <c r="CY16" s="106">
        <f>535.22/549.98*100</f>
        <v>97.316266046038038</v>
      </c>
      <c r="CZ16" s="72">
        <f>50.99/149.98*100</f>
        <v>33.997866382184291</v>
      </c>
      <c r="DA16" s="192"/>
      <c r="DB16" s="193"/>
      <c r="DC16" s="192"/>
      <c r="DD16" s="193"/>
      <c r="DE16" s="106">
        <f>535.22/549.98*100</f>
        <v>97.316266046038038</v>
      </c>
      <c r="DF16" s="72">
        <f>92.04/149.98*100</f>
        <v>61.368182424323251</v>
      </c>
      <c r="DG16" s="106">
        <f>535.22/549.98*100</f>
        <v>97.316266046038038</v>
      </c>
      <c r="DH16" s="72">
        <f>88.72/149.98*100</f>
        <v>59.15455394052541</v>
      </c>
      <c r="DI16" s="106">
        <f>535.22/549.98*100</f>
        <v>97.316266046038038</v>
      </c>
      <c r="DJ16" s="72">
        <f>100.37/149.98*100</f>
        <v>66.922256300840118</v>
      </c>
      <c r="DK16" s="106">
        <f>535.22/549.98*100</f>
        <v>97.316266046038038</v>
      </c>
      <c r="DL16" s="72">
        <f>90.35/149.98*100</f>
        <v>60.241365515402059</v>
      </c>
      <c r="DM16" s="106">
        <f>535.22/549.98*100</f>
        <v>97.316266046038038</v>
      </c>
      <c r="DN16" s="72">
        <f>113.19/149.98*100</f>
        <v>75.470062675023343</v>
      </c>
      <c r="DO16" s="131">
        <f>535.22/549.98*100</f>
        <v>97.316266046038038</v>
      </c>
      <c r="DP16" s="129">
        <f>93.3/149.98*100</f>
        <v>62.208294439258573</v>
      </c>
      <c r="DQ16" s="192"/>
      <c r="DR16" s="193"/>
      <c r="DS16" s="131">
        <f>535.22/549.98*100</f>
        <v>97.316266046038038</v>
      </c>
      <c r="DT16" s="129">
        <f>96.4/149.98*100</f>
        <v>64.275236698226436</v>
      </c>
      <c r="DU16" s="131">
        <f>535.22/549.98*100</f>
        <v>97.316266046038038</v>
      </c>
      <c r="DV16" s="129">
        <f>96.9/149.98*100</f>
        <v>64.608614481930942</v>
      </c>
      <c r="DW16" s="192"/>
      <c r="DX16" s="193"/>
      <c r="DY16" s="129">
        <f>422.61/549.98*100</f>
        <v>76.840976035492204</v>
      </c>
      <c r="DZ16" s="129">
        <f>129.98/149.98*100</f>
        <v>86.664888651820235</v>
      </c>
      <c r="EA16" s="129">
        <f>422.61/549.98*100</f>
        <v>76.840976035492204</v>
      </c>
      <c r="EB16" s="129">
        <f>131.73/149.98*100</f>
        <v>87.831710894785971</v>
      </c>
      <c r="EC16" s="129">
        <f>454.24/549.98*100</f>
        <v>82.592094257973017</v>
      </c>
      <c r="ED16" s="129">
        <f>87.7/149.98*100</f>
        <v>58.474463261768236</v>
      </c>
      <c r="EE16" s="192"/>
      <c r="EF16" s="193"/>
      <c r="EG16" s="14"/>
      <c r="EH16" s="51"/>
      <c r="EI16" s="129">
        <f>456.24/549.98*100</f>
        <v>82.955743845230728</v>
      </c>
      <c r="EJ16" s="129">
        <f>126.05/149.98*100</f>
        <v>84.044539271902934</v>
      </c>
      <c r="EL16" s="106"/>
      <c r="EM16" s="72"/>
      <c r="EN16" s="192"/>
      <c r="EO16" s="193"/>
      <c r="EP16" s="129">
        <f>458.18/549.98*100</f>
        <v>83.30848394487073</v>
      </c>
      <c r="EQ16" s="129">
        <f>110.02/149.98*100</f>
        <v>73.356447526336837</v>
      </c>
      <c r="ER16" s="129">
        <f>458.87/549.98*100</f>
        <v>83.433943052474632</v>
      </c>
      <c r="ES16" s="129">
        <f>134.93/149.98*100</f>
        <v>89.965328710494745</v>
      </c>
      <c r="ET16" s="192"/>
      <c r="EU16" s="193"/>
      <c r="EV16" s="129">
        <f>460.24/549.98*100</f>
        <v>83.683043019746179</v>
      </c>
      <c r="EW16" s="129">
        <f>109.56/149.98*100</f>
        <v>73.049739965328726</v>
      </c>
      <c r="EX16" s="129">
        <f>460.93/549.98*100</f>
        <v>83.808502127350081</v>
      </c>
      <c r="EY16" s="129">
        <f>95.72/149.98*100</f>
        <v>63.821842912388327</v>
      </c>
      <c r="EZ16" s="129">
        <f>461.49/549.98*100</f>
        <v>83.910324011782251</v>
      </c>
      <c r="FA16" s="129">
        <f>118.76/149.98*100</f>
        <v>79.183891185491404</v>
      </c>
      <c r="FB16" s="129">
        <f>461.49/549.98*100</f>
        <v>83.910324011782251</v>
      </c>
      <c r="FC16" s="129">
        <f>118.76/149.98*100</f>
        <v>79.183891185491404</v>
      </c>
      <c r="FD16" s="106">
        <v>84.25</v>
      </c>
      <c r="FE16" s="72">
        <v>65.95</v>
      </c>
      <c r="FF16" s="106">
        <v>84.44</v>
      </c>
      <c r="FG16" s="72">
        <v>86</v>
      </c>
      <c r="FH16" s="192"/>
      <c r="FI16" s="193"/>
      <c r="FJ16" s="106">
        <v>84.72</v>
      </c>
      <c r="FK16" s="72">
        <v>46.81</v>
      </c>
      <c r="FL16" s="106">
        <v>84.79</v>
      </c>
      <c r="FM16" s="72">
        <v>48.02</v>
      </c>
      <c r="FN16" s="106">
        <v>84.79</v>
      </c>
      <c r="FO16" s="72">
        <v>63.42</v>
      </c>
      <c r="FP16" s="106">
        <v>84.79</v>
      </c>
      <c r="FQ16" s="72">
        <v>90.44</v>
      </c>
      <c r="FR16" s="106">
        <v>84.79</v>
      </c>
      <c r="FS16" s="72">
        <v>58.59</v>
      </c>
      <c r="FT16" s="192"/>
      <c r="FU16" s="193"/>
      <c r="FV16" s="192"/>
      <c r="FW16" s="193"/>
      <c r="FX16" s="106">
        <v>85.09</v>
      </c>
      <c r="FY16" s="72">
        <v>42.07</v>
      </c>
      <c r="FZ16" s="106">
        <v>85.24</v>
      </c>
      <c r="GA16" s="72">
        <v>61.65</v>
      </c>
      <c r="GB16" s="106">
        <v>85.55</v>
      </c>
      <c r="GC16" s="72">
        <v>53.98</v>
      </c>
      <c r="GD16" s="106">
        <v>85.69</v>
      </c>
      <c r="GE16" s="72">
        <v>40.21</v>
      </c>
      <c r="GF16" s="106">
        <v>85.79</v>
      </c>
      <c r="GG16" s="72">
        <v>42.4</v>
      </c>
      <c r="GH16" s="129"/>
      <c r="GI16" s="129"/>
      <c r="GJ16" s="192"/>
      <c r="GK16" s="193"/>
      <c r="GL16" s="129">
        <v>86.21</v>
      </c>
      <c r="GM16" s="129">
        <v>49.81</v>
      </c>
      <c r="GN16" s="129">
        <v>86.33</v>
      </c>
      <c r="GO16" s="129">
        <v>59.56</v>
      </c>
      <c r="GP16" s="14">
        <v>86.58</v>
      </c>
      <c r="GQ16" s="14">
        <v>57.39</v>
      </c>
      <c r="GR16" s="14">
        <v>86.58</v>
      </c>
      <c r="GS16" s="14">
        <v>57.39</v>
      </c>
      <c r="GT16" s="14">
        <v>86.58</v>
      </c>
      <c r="GU16" s="14">
        <v>57.39</v>
      </c>
      <c r="GW16" s="14">
        <v>86.58</v>
      </c>
      <c r="GX16" s="14">
        <v>57.39</v>
      </c>
      <c r="GY16" s="192"/>
      <c r="GZ16" s="193"/>
      <c r="HA16" s="192"/>
      <c r="HB16" s="193"/>
      <c r="HC16" s="129">
        <v>87.22</v>
      </c>
      <c r="HD16" s="129">
        <v>55.81</v>
      </c>
      <c r="HE16" s="129"/>
      <c r="HF16" s="129"/>
      <c r="HG16" s="192"/>
      <c r="HH16" s="193"/>
      <c r="HI16" s="192"/>
      <c r="HJ16" s="193"/>
      <c r="HK16" s="129">
        <v>87.75</v>
      </c>
      <c r="HL16" s="129">
        <v>73.14</v>
      </c>
      <c r="HM16" s="192"/>
      <c r="HN16" s="193"/>
      <c r="HO16" s="129">
        <v>88.15</v>
      </c>
      <c r="HP16" s="129">
        <v>67.92</v>
      </c>
      <c r="HQ16" s="129">
        <v>88.15</v>
      </c>
      <c r="HR16" s="129">
        <v>67.92</v>
      </c>
      <c r="HS16" s="106">
        <v>88.29</v>
      </c>
      <c r="HT16" s="106">
        <v>98.65</v>
      </c>
      <c r="HU16" s="106">
        <v>88.41</v>
      </c>
      <c r="HV16" s="72">
        <v>95.48</v>
      </c>
      <c r="HW16" s="106">
        <v>88.41</v>
      </c>
      <c r="HX16" s="72">
        <v>95.48</v>
      </c>
      <c r="HY16" s="106">
        <v>88.92</v>
      </c>
      <c r="HZ16" s="72">
        <v>62.29</v>
      </c>
      <c r="IA16" s="106">
        <v>88.92</v>
      </c>
      <c r="IB16" s="72">
        <v>62.29</v>
      </c>
      <c r="IC16" s="106">
        <v>89.17</v>
      </c>
      <c r="ID16" s="72">
        <v>65.319999999999993</v>
      </c>
      <c r="IE16" s="106">
        <v>89.17</v>
      </c>
      <c r="IF16" s="72">
        <v>65.319999999999993</v>
      </c>
      <c r="IG16" s="106">
        <v>89.17</v>
      </c>
      <c r="IH16" s="72">
        <v>65.319999999999993</v>
      </c>
      <c r="II16" s="106">
        <v>89.26</v>
      </c>
      <c r="IJ16" s="72">
        <v>47.23</v>
      </c>
      <c r="IK16" s="192"/>
      <c r="IL16" s="193"/>
      <c r="IM16" s="106">
        <v>89.26</v>
      </c>
      <c r="IN16" s="72">
        <v>47.23</v>
      </c>
      <c r="IO16" s="192"/>
      <c r="IP16" s="193"/>
      <c r="IQ16" s="106">
        <v>89.81</v>
      </c>
      <c r="IR16" s="72">
        <v>55.74</v>
      </c>
      <c r="IS16" s="106">
        <v>89.81</v>
      </c>
      <c r="IT16" s="72">
        <v>55.74</v>
      </c>
      <c r="IU16" s="106">
        <v>89.81</v>
      </c>
      <c r="IV16" s="72">
        <v>55.74</v>
      </c>
      <c r="IW16" s="129">
        <v>90.2</v>
      </c>
      <c r="IX16" s="129">
        <v>60.88</v>
      </c>
      <c r="IY16" s="129">
        <v>90.2</v>
      </c>
      <c r="IZ16" s="129">
        <v>60.88</v>
      </c>
      <c r="JA16" s="129">
        <v>90.43</v>
      </c>
      <c r="JB16" s="129">
        <v>56.37</v>
      </c>
      <c r="JC16" s="129"/>
      <c r="JD16" s="129"/>
      <c r="JE16" s="129">
        <v>90.43</v>
      </c>
      <c r="JF16" s="129">
        <v>56.37</v>
      </c>
      <c r="JH16" s="129">
        <v>90.82</v>
      </c>
      <c r="JI16" s="129">
        <v>64.33</v>
      </c>
      <c r="JJ16" s="129">
        <v>90.82</v>
      </c>
      <c r="JK16" s="129">
        <v>64.33</v>
      </c>
      <c r="JL16" s="129">
        <v>90.82</v>
      </c>
      <c r="JM16" s="129">
        <v>64.33</v>
      </c>
      <c r="JN16" s="129">
        <v>90.82</v>
      </c>
      <c r="JO16" s="129">
        <v>64.33</v>
      </c>
      <c r="JP16" s="129">
        <v>91.23</v>
      </c>
      <c r="JQ16" s="129">
        <v>62.17</v>
      </c>
      <c r="JR16" s="186"/>
      <c r="JS16" s="187"/>
      <c r="JT16" s="129">
        <v>91.23</v>
      </c>
      <c r="JU16" s="129">
        <v>62.17</v>
      </c>
      <c r="JV16" s="129">
        <v>91.79</v>
      </c>
      <c r="JW16" s="129">
        <v>68.56</v>
      </c>
      <c r="JX16" s="129">
        <v>91.79</v>
      </c>
      <c r="JY16" s="129">
        <v>68.56</v>
      </c>
      <c r="JZ16" s="129">
        <v>91.79</v>
      </c>
      <c r="KA16" s="129">
        <v>68.56</v>
      </c>
      <c r="KB16" s="129">
        <v>91.79</v>
      </c>
      <c r="KC16" s="129">
        <v>68.56</v>
      </c>
      <c r="KD16" s="129">
        <v>91.79</v>
      </c>
      <c r="KE16" s="129">
        <v>68.56</v>
      </c>
      <c r="KF16" s="186"/>
      <c r="KG16" s="187"/>
      <c r="KH16" s="129">
        <v>91.79</v>
      </c>
      <c r="KI16" s="129">
        <v>68.56</v>
      </c>
      <c r="KJ16" s="129">
        <v>91.79</v>
      </c>
      <c r="KK16" s="129">
        <v>68.56</v>
      </c>
      <c r="KL16" s="129">
        <v>92.9</v>
      </c>
      <c r="KM16" s="129">
        <v>83.9</v>
      </c>
    </row>
    <row r="17" spans="1:299" x14ac:dyDescent="0.3">
      <c r="A17" s="24">
        <v>13</v>
      </c>
      <c r="B17" s="25" t="s">
        <v>21</v>
      </c>
      <c r="C17" s="26" t="s">
        <v>47</v>
      </c>
      <c r="D17" s="213"/>
      <c r="E17" s="27"/>
      <c r="F17" s="216"/>
      <c r="G17" s="27"/>
      <c r="H17" s="53"/>
      <c r="I17" s="61"/>
      <c r="J17" s="27"/>
      <c r="K17" s="62"/>
      <c r="L17" s="56"/>
      <c r="M17" s="27"/>
      <c r="N17" s="62"/>
      <c r="O17" s="61"/>
      <c r="P17" s="27"/>
      <c r="Q17" s="62"/>
      <c r="R17" s="56"/>
      <c r="S17" s="27"/>
      <c r="T17" s="62"/>
      <c r="U17" s="203"/>
      <c r="V17" s="61"/>
      <c r="W17" s="27"/>
      <c r="X17" s="62"/>
      <c r="Y17" s="61"/>
      <c r="Z17" s="56"/>
      <c r="AA17" s="80"/>
      <c r="AB17" s="61"/>
      <c r="AC17" s="56"/>
      <c r="AD17" s="80"/>
      <c r="AE17" s="56"/>
      <c r="AF17" s="56"/>
      <c r="AG17" s="56"/>
      <c r="AH17" s="27"/>
      <c r="AI17" s="27"/>
      <c r="AJ17" s="27"/>
      <c r="AK17" s="27"/>
      <c r="AL17" s="27"/>
      <c r="AM17" s="27"/>
      <c r="AN17" s="186"/>
      <c r="AO17" s="223"/>
      <c r="AP17" s="187"/>
      <c r="AQ17" s="27"/>
      <c r="AR17" s="27"/>
      <c r="AS17" s="27"/>
      <c r="AT17" s="27"/>
      <c r="AU17" s="27"/>
      <c r="AV17" s="27"/>
      <c r="AW17" s="192"/>
      <c r="AX17" s="193"/>
      <c r="AY17" s="196"/>
      <c r="AZ17" s="192"/>
      <c r="BA17" s="193"/>
      <c r="BB17" s="196"/>
      <c r="BC17" s="27"/>
      <c r="BD17" s="27"/>
      <c r="BE17" s="27"/>
      <c r="BF17" s="27"/>
      <c r="BG17" s="27"/>
      <c r="BH17" s="27"/>
      <c r="BI17" s="228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C17" s="53"/>
      <c r="CD17" s="53"/>
      <c r="CE17" s="61"/>
      <c r="CF17" s="27"/>
      <c r="CG17" s="56"/>
      <c r="CH17" s="27"/>
      <c r="CI17" s="61"/>
      <c r="CJ17" s="27"/>
      <c r="CK17" s="53"/>
      <c r="CL17" s="53"/>
      <c r="CM17" s="61"/>
      <c r="CN17" s="62"/>
      <c r="CO17" s="232"/>
      <c r="CP17" s="233"/>
      <c r="CQ17" s="61"/>
      <c r="CR17" s="56"/>
      <c r="CS17" s="56"/>
      <c r="CT17" s="56"/>
      <c r="CU17" s="27"/>
      <c r="CV17" s="27"/>
      <c r="CW17" s="27"/>
      <c r="CX17" s="27"/>
      <c r="CY17" s="27"/>
      <c r="CZ17" s="27"/>
      <c r="DA17" s="192"/>
      <c r="DB17" s="193"/>
      <c r="DC17" s="192"/>
      <c r="DD17" s="193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130"/>
      <c r="DP17" s="130"/>
      <c r="DQ17" s="192"/>
      <c r="DR17" s="193"/>
      <c r="DS17" s="27"/>
      <c r="DT17" s="27"/>
      <c r="DU17" s="27"/>
      <c r="DV17" s="27"/>
      <c r="DW17" s="192"/>
      <c r="DX17" s="193"/>
      <c r="DY17" s="27"/>
      <c r="DZ17" s="27"/>
      <c r="EA17" s="27"/>
      <c r="EB17" s="27"/>
      <c r="EC17" s="27"/>
      <c r="ED17" s="27"/>
      <c r="EE17" s="192"/>
      <c r="EF17" s="193"/>
      <c r="EG17" s="27"/>
      <c r="EH17" s="27"/>
      <c r="EI17" s="27"/>
      <c r="EJ17" s="27"/>
      <c r="EL17" s="53"/>
      <c r="EM17" s="53"/>
      <c r="EN17" s="192"/>
      <c r="EO17" s="193"/>
      <c r="EP17" s="56"/>
      <c r="EQ17" s="27"/>
      <c r="ER17" s="61"/>
      <c r="ES17" s="27"/>
      <c r="ET17" s="192"/>
      <c r="EU17" s="193"/>
      <c r="EV17" s="61"/>
      <c r="EW17" s="27"/>
      <c r="EX17" s="61"/>
      <c r="EY17" s="27"/>
      <c r="EZ17" s="61"/>
      <c r="FA17" s="27"/>
      <c r="FB17" s="61"/>
      <c r="FC17" s="27"/>
      <c r="FD17" s="27"/>
      <c r="FE17" s="27"/>
      <c r="FF17" s="27"/>
      <c r="FG17" s="27"/>
      <c r="FH17" s="192"/>
      <c r="FI17" s="193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192"/>
      <c r="FU17" s="193"/>
      <c r="FV17" s="192"/>
      <c r="FW17" s="193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192"/>
      <c r="GK17" s="193"/>
      <c r="GL17" s="27"/>
      <c r="GM17" s="27"/>
      <c r="GN17" s="27"/>
      <c r="GO17" s="27"/>
      <c r="GP17" s="27"/>
      <c r="GQ17" s="27"/>
      <c r="GR17" s="27"/>
      <c r="GS17" s="27"/>
      <c r="GT17" s="27"/>
      <c r="GU17" s="27"/>
      <c r="GW17" s="27"/>
      <c r="GX17" s="27"/>
      <c r="GY17" s="192"/>
      <c r="GZ17" s="193"/>
      <c r="HA17" s="192"/>
      <c r="HB17" s="193"/>
      <c r="HC17" s="61"/>
      <c r="HD17" s="27"/>
      <c r="HE17" s="61"/>
      <c r="HF17" s="27"/>
      <c r="HG17" s="192"/>
      <c r="HH17" s="193"/>
      <c r="HI17" s="192"/>
      <c r="HJ17" s="193"/>
      <c r="HK17" s="61"/>
      <c r="HL17" s="27"/>
      <c r="HM17" s="192"/>
      <c r="HN17" s="193"/>
      <c r="HO17" s="27"/>
      <c r="HP17" s="27"/>
      <c r="HQ17" s="27"/>
      <c r="HR17" s="27"/>
      <c r="HS17" s="27"/>
      <c r="HT17" s="27"/>
      <c r="HU17" s="27"/>
      <c r="HV17" s="27"/>
      <c r="HW17" s="27"/>
      <c r="HX17" s="27"/>
      <c r="HY17" s="27"/>
      <c r="HZ17" s="27"/>
      <c r="IA17" s="27"/>
      <c r="IB17" s="27"/>
      <c r="IC17" s="27"/>
      <c r="ID17" s="27"/>
      <c r="IE17" s="27"/>
      <c r="IF17" s="27"/>
      <c r="IG17" s="27"/>
      <c r="IH17" s="27"/>
      <c r="II17" s="27"/>
      <c r="IJ17" s="27"/>
      <c r="IK17" s="192"/>
      <c r="IL17" s="193"/>
      <c r="IM17" s="27"/>
      <c r="IN17" s="27"/>
      <c r="IO17" s="192"/>
      <c r="IP17" s="193"/>
      <c r="IQ17" s="27"/>
      <c r="IR17" s="27"/>
      <c r="IS17" s="27"/>
      <c r="IT17" s="27"/>
      <c r="IU17" s="27"/>
      <c r="IV17" s="27"/>
      <c r="IW17" s="27"/>
      <c r="IX17" s="27"/>
      <c r="IY17" s="27"/>
      <c r="IZ17" s="27"/>
      <c r="JA17" s="27"/>
      <c r="JB17" s="27"/>
      <c r="JC17" s="27"/>
      <c r="JD17" s="27"/>
      <c r="JE17" s="27"/>
      <c r="JF17" s="27"/>
      <c r="JH17" s="27"/>
      <c r="JI17" s="27"/>
      <c r="JJ17" s="27"/>
      <c r="JK17" s="27"/>
      <c r="JL17" s="27"/>
      <c r="JM17" s="27"/>
      <c r="JN17" s="27"/>
      <c r="JO17" s="27"/>
      <c r="JP17" s="27"/>
      <c r="JQ17" s="27"/>
      <c r="JR17" s="186"/>
      <c r="JS17" s="187"/>
      <c r="JT17" s="27"/>
      <c r="JU17" s="27"/>
      <c r="JV17" s="27"/>
      <c r="JW17" s="27"/>
      <c r="JX17" s="27"/>
      <c r="JY17" s="27"/>
      <c r="JZ17" s="27"/>
      <c r="KA17" s="27"/>
      <c r="KB17" s="27"/>
      <c r="KC17" s="27"/>
      <c r="KD17" s="27"/>
      <c r="KE17" s="27"/>
      <c r="KF17" s="186"/>
      <c r="KG17" s="187"/>
      <c r="KH17" s="27"/>
      <c r="KI17" s="27"/>
      <c r="KJ17" s="27"/>
      <c r="KK17" s="27"/>
      <c r="KL17" s="27"/>
      <c r="KM17" s="27"/>
    </row>
    <row r="18" spans="1:299" x14ac:dyDescent="0.3">
      <c r="A18" s="24">
        <v>14</v>
      </c>
      <c r="B18" s="25" t="s">
        <v>22</v>
      </c>
      <c r="C18" s="26" t="s">
        <v>47</v>
      </c>
      <c r="D18" s="213"/>
      <c r="E18" s="27">
        <f>38378.49+47365</f>
        <v>85743.489999999991</v>
      </c>
      <c r="F18" s="216"/>
      <c r="G18" s="27">
        <f>38250.12+49082.9</f>
        <v>87333.02</v>
      </c>
      <c r="H18" s="53">
        <f>38442.49+50708.7</f>
        <v>89151.19</v>
      </c>
      <c r="I18" s="61">
        <f>38506.49+52309</f>
        <v>90815.489999999991</v>
      </c>
      <c r="J18" s="94">
        <v>0.37609999999999999</v>
      </c>
      <c r="K18" s="95">
        <v>0.51090000000000002</v>
      </c>
      <c r="L18" s="56">
        <f>38570.49+54629.93</f>
        <v>93200.42</v>
      </c>
      <c r="M18" s="94">
        <v>0.37669999999999998</v>
      </c>
      <c r="N18" s="95">
        <v>0.53359999999999996</v>
      </c>
      <c r="O18" s="61">
        <f>38570.49+56165.89</f>
        <v>94736.38</v>
      </c>
      <c r="P18" s="94">
        <v>0.37669999999999998</v>
      </c>
      <c r="Q18" s="95">
        <v>0.54859999999999998</v>
      </c>
      <c r="R18" s="56">
        <f>38634.49+58027.29</f>
        <v>96661.78</v>
      </c>
      <c r="S18" s="94">
        <v>0.37740000000000001</v>
      </c>
      <c r="T18" s="95">
        <v>0.56679999999999997</v>
      </c>
      <c r="U18" s="203"/>
      <c r="V18" s="61">
        <f>38698+61476.67</f>
        <v>100174.67</v>
      </c>
      <c r="W18" s="94">
        <v>0.378</v>
      </c>
      <c r="X18" s="95">
        <v>0.60050000000000003</v>
      </c>
      <c r="Y18" s="61">
        <f>38698.49+47318.89</f>
        <v>86017.38</v>
      </c>
      <c r="Z18" s="92">
        <v>0.378</v>
      </c>
      <c r="AA18" s="96">
        <v>0.4622</v>
      </c>
      <c r="AB18" s="61">
        <f>38762.49+48316.27</f>
        <v>87078.76</v>
      </c>
      <c r="AC18" s="92">
        <v>0.37890000000000001</v>
      </c>
      <c r="AD18" s="96">
        <v>0.47189999999999999</v>
      </c>
      <c r="AE18" s="56">
        <f>38762.49+49667.18</f>
        <v>88429.67</v>
      </c>
      <c r="AF18" s="92">
        <v>0.37859999999999999</v>
      </c>
      <c r="AG18" s="92">
        <v>0.48509999999999998</v>
      </c>
      <c r="AH18" s="27">
        <f>38826.49+51881.86</f>
        <v>90708.35</v>
      </c>
      <c r="AI18" s="94">
        <v>0.37919999999999998</v>
      </c>
      <c r="AJ18" s="94">
        <v>0.50670000000000004</v>
      </c>
      <c r="AK18" s="27">
        <f>38826.49+53384.3</f>
        <v>92210.790000000008</v>
      </c>
      <c r="AL18" s="94">
        <v>0.37919999999999998</v>
      </c>
      <c r="AM18" s="94">
        <v>0.52139999999999997</v>
      </c>
      <c r="AN18" s="186"/>
      <c r="AO18" s="223"/>
      <c r="AP18" s="187"/>
      <c r="AQ18" s="27"/>
      <c r="AR18" s="27"/>
      <c r="AS18" s="27"/>
      <c r="AT18" s="27"/>
      <c r="AU18" s="27"/>
      <c r="AV18" s="27"/>
      <c r="AW18" s="192"/>
      <c r="AX18" s="193"/>
      <c r="AY18" s="196"/>
      <c r="AZ18" s="192"/>
      <c r="BA18" s="193"/>
      <c r="BB18" s="196"/>
      <c r="BC18" s="27"/>
      <c r="BD18" s="27"/>
      <c r="BE18" s="27"/>
      <c r="BF18" s="27"/>
      <c r="BG18" s="27"/>
      <c r="BH18" s="27"/>
      <c r="BI18" s="228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C18" s="53"/>
      <c r="CD18" s="53"/>
      <c r="CE18" s="61"/>
      <c r="CF18" s="94"/>
      <c r="CG18" s="56"/>
      <c r="CH18" s="94"/>
      <c r="CI18" s="61"/>
      <c r="CJ18" s="94"/>
      <c r="CK18" s="53">
        <f>213.71/299.94*100</f>
        <v>71.250916850036674</v>
      </c>
      <c r="CL18" s="53">
        <f>101.78/199.98*100</f>
        <v>50.895089508950896</v>
      </c>
      <c r="CM18" s="53">
        <f>213.71/299.94*100</f>
        <v>71.250916850036674</v>
      </c>
      <c r="CN18" s="53">
        <f>51.45/199.98*100</f>
        <v>25.72757275727573</v>
      </c>
      <c r="CO18" s="232"/>
      <c r="CP18" s="233"/>
      <c r="CQ18" s="53">
        <f>214.21/299.94*100</f>
        <v>71.417616856704683</v>
      </c>
      <c r="CR18" s="53">
        <f>104.34/199.98*100</f>
        <v>52.175217521752181</v>
      </c>
      <c r="CS18" s="53">
        <f>214.4/299.94*100</f>
        <v>71.480962859238517</v>
      </c>
      <c r="CT18" s="53">
        <f>105.4/199.98*100</f>
        <v>52.705270527052704</v>
      </c>
      <c r="CU18" s="53">
        <f>214.72/299.94*100</f>
        <v>71.587650863506042</v>
      </c>
      <c r="CV18" s="53">
        <f>106.65/199.98*100</f>
        <v>53.330333033303333</v>
      </c>
      <c r="CW18" s="53">
        <f>215.03/299.94*100</f>
        <v>71.691004867640203</v>
      </c>
      <c r="CX18" s="53">
        <f>108.09/199.98*100</f>
        <v>54.05040504050406</v>
      </c>
      <c r="CY18" s="53">
        <f>215.14/299.94*100</f>
        <v>71.727678869107152</v>
      </c>
      <c r="CZ18" s="53">
        <f>108.78/199.98*100</f>
        <v>54.395439543954396</v>
      </c>
      <c r="DA18" s="192"/>
      <c r="DB18" s="193"/>
      <c r="DC18" s="192"/>
      <c r="DD18" s="193"/>
      <c r="DE18" s="53">
        <f>215.88/299.94*100</f>
        <v>71.974394878975787</v>
      </c>
      <c r="DF18" s="53">
        <f>111.84/199.98*100</f>
        <v>55.925592559255932</v>
      </c>
      <c r="DG18" s="53">
        <f>216.18/299.94*100</f>
        <v>72.074414882976598</v>
      </c>
      <c r="DH18" s="53">
        <f>113.03/199.98*100</f>
        <v>56.520652065206519</v>
      </c>
      <c r="DI18" s="53">
        <f>216.39/299.94*100</f>
        <v>72.14442888577716</v>
      </c>
      <c r="DJ18" s="53">
        <f>114.46/199.98*100</f>
        <v>57.23572357235723</v>
      </c>
      <c r="DK18" s="53">
        <f>180.81/299.94*100</f>
        <v>60.282056411282255</v>
      </c>
      <c r="DL18" s="53">
        <f>69.93/199.98*100</f>
        <v>34.968496849684968</v>
      </c>
      <c r="DM18" s="53">
        <f>181.01/299.94*100</f>
        <v>60.348736413949453</v>
      </c>
      <c r="DN18" s="53">
        <f>71.12/199.98*100</f>
        <v>35.563556355635569</v>
      </c>
      <c r="DO18" s="128">
        <f>181.28/299.94*100</f>
        <v>60.438754417550179</v>
      </c>
      <c r="DP18" s="128">
        <f>72.18/199.98*100</f>
        <v>36.0936093609361</v>
      </c>
      <c r="DQ18" s="192"/>
      <c r="DR18" s="193"/>
      <c r="DS18" s="128">
        <f>181.57/299.94*100</f>
        <v>60.535440421417618</v>
      </c>
      <c r="DT18" s="128">
        <f>74.62/199.98*100</f>
        <v>37.313731373137315</v>
      </c>
      <c r="DU18" s="128">
        <f>180.57/299.94*100</f>
        <v>60.202040408081615</v>
      </c>
      <c r="DV18" s="128">
        <f>74.62/199.98*100</f>
        <v>37.313731373137315</v>
      </c>
      <c r="DW18" s="192"/>
      <c r="DX18" s="193"/>
      <c r="DY18" s="128">
        <f>182.09/299.94*100</f>
        <v>60.708808428352334</v>
      </c>
      <c r="DZ18" s="128">
        <f>77.73/199.98*100</f>
        <v>38.868886888688877</v>
      </c>
      <c r="EA18" s="128">
        <f>182.24/299.94*100</f>
        <v>60.758818430352747</v>
      </c>
      <c r="EB18" s="128">
        <f>78.79/199.98*100</f>
        <v>39.398939893989407</v>
      </c>
      <c r="EC18" s="128">
        <f>182.45/299.94*100</f>
        <v>60.828832433153288</v>
      </c>
      <c r="ED18" s="128">
        <f>78.73/199.98*100</f>
        <v>39.368936893689373</v>
      </c>
      <c r="EE18" s="192"/>
      <c r="EF18" s="193"/>
      <c r="EG18" s="27"/>
      <c r="EH18" s="27"/>
      <c r="EI18" s="128">
        <f>182.9/299.94*100</f>
        <v>60.978862439154504</v>
      </c>
      <c r="EJ18" s="128">
        <f>41.49/199.98*100</f>
        <v>20.747074707470752</v>
      </c>
      <c r="EL18" s="53"/>
      <c r="EM18" s="53"/>
      <c r="EN18" s="192"/>
      <c r="EO18" s="193"/>
      <c r="EP18" s="128">
        <f>183.63/299.94*100</f>
        <v>61.222244448889775</v>
      </c>
      <c r="EQ18" s="128">
        <f>88.1/199.98*100</f>
        <v>44.054405440544052</v>
      </c>
      <c r="ER18" s="128">
        <f>183.75/299.94*100</f>
        <v>61.262252450490095</v>
      </c>
      <c r="ES18" s="128">
        <f>89.17/199.98*100</f>
        <v>44.589458945894592</v>
      </c>
      <c r="ET18" s="192"/>
      <c r="EU18" s="193"/>
      <c r="EV18" s="128">
        <f>183.75/299.94*100</f>
        <v>61.262252450490095</v>
      </c>
      <c r="EW18" s="128">
        <f>89.17/199.98*100</f>
        <v>44.589458945894592</v>
      </c>
      <c r="EX18" s="128">
        <f>184.15/299.94*100</f>
        <v>61.395612455824498</v>
      </c>
      <c r="EY18" s="128">
        <f>92.29/199.98*100</f>
        <v>46.149614961496155</v>
      </c>
      <c r="EZ18" s="128">
        <f>184.34/299.94*100</f>
        <v>61.458958458358339</v>
      </c>
      <c r="FA18" s="128">
        <f>93.48/199.98*100</f>
        <v>46.74467446744675</v>
      </c>
      <c r="FB18" s="128">
        <v>61.49</v>
      </c>
      <c r="FC18" s="128">
        <v>47.34</v>
      </c>
      <c r="FD18" s="128">
        <v>61.59</v>
      </c>
      <c r="FE18" s="128">
        <v>47.93</v>
      </c>
      <c r="FF18" s="128">
        <v>61.59</v>
      </c>
      <c r="FG18" s="128">
        <v>47.93</v>
      </c>
      <c r="FH18" s="192"/>
      <c r="FI18" s="193"/>
      <c r="FJ18" s="128">
        <v>61.85</v>
      </c>
      <c r="FK18" s="128">
        <v>49.99</v>
      </c>
      <c r="FL18" s="128">
        <v>62</v>
      </c>
      <c r="FM18" s="128">
        <v>50.62</v>
      </c>
      <c r="FN18" s="128">
        <v>62.06</v>
      </c>
      <c r="FO18" s="128">
        <v>51.21</v>
      </c>
      <c r="FP18" s="128">
        <v>63.18</v>
      </c>
      <c r="FQ18" s="128">
        <v>52.27</v>
      </c>
      <c r="FR18" s="128">
        <v>63.33</v>
      </c>
      <c r="FS18" s="128">
        <v>53.84</v>
      </c>
      <c r="FT18" s="192"/>
      <c r="FU18" s="193"/>
      <c r="FV18" s="192"/>
      <c r="FW18" s="193"/>
      <c r="FX18" s="128">
        <v>63.57</v>
      </c>
      <c r="FY18" s="128">
        <v>55.96</v>
      </c>
      <c r="FZ18" s="128">
        <v>63.66</v>
      </c>
      <c r="GA18" s="128">
        <v>56.31</v>
      </c>
      <c r="GB18" s="128">
        <v>63.66</v>
      </c>
      <c r="GC18" s="128">
        <v>56.31</v>
      </c>
      <c r="GD18" s="128">
        <v>63.78</v>
      </c>
      <c r="GE18" s="128">
        <v>57.21</v>
      </c>
      <c r="GF18" s="128">
        <v>63.86</v>
      </c>
      <c r="GG18" s="128">
        <v>57.99</v>
      </c>
      <c r="GH18" s="128"/>
      <c r="GI18" s="128"/>
      <c r="GJ18" s="192"/>
      <c r="GK18" s="193"/>
      <c r="GL18" s="128">
        <v>64.680000000000007</v>
      </c>
      <c r="GM18" s="128">
        <v>80.900000000000006</v>
      </c>
      <c r="GN18" s="128">
        <v>64.75</v>
      </c>
      <c r="GO18" s="128">
        <v>81.739999999999995</v>
      </c>
      <c r="GP18" s="27">
        <v>64.849999999999994</v>
      </c>
      <c r="GQ18" s="27">
        <v>83.24</v>
      </c>
      <c r="GR18" s="27">
        <v>64.849999999999994</v>
      </c>
      <c r="GS18" s="27">
        <v>83.24</v>
      </c>
      <c r="GT18" s="27">
        <v>64.849999999999994</v>
      </c>
      <c r="GU18" s="27">
        <v>83.24</v>
      </c>
      <c r="GW18" s="27">
        <v>64.849999999999994</v>
      </c>
      <c r="GX18" s="27">
        <v>83.24</v>
      </c>
      <c r="GY18" s="192"/>
      <c r="GZ18" s="193"/>
      <c r="HA18" s="192"/>
      <c r="HB18" s="193"/>
      <c r="HC18" s="128">
        <v>65.099999999999994</v>
      </c>
      <c r="HD18" s="128">
        <v>87.24</v>
      </c>
      <c r="HE18" s="128"/>
      <c r="HF18" s="128"/>
      <c r="HG18" s="192"/>
      <c r="HH18" s="193"/>
      <c r="HI18" s="192"/>
      <c r="HJ18" s="193"/>
      <c r="HK18" s="128">
        <v>65.31</v>
      </c>
      <c r="HL18" s="128">
        <v>90.18</v>
      </c>
      <c r="HM18" s="192"/>
      <c r="HN18" s="193"/>
      <c r="HO18" s="128">
        <v>65.5</v>
      </c>
      <c r="HP18" s="128">
        <v>16.899999999999999</v>
      </c>
      <c r="HQ18" s="128">
        <v>65.5</v>
      </c>
      <c r="HR18" s="128">
        <v>16.899999999999999</v>
      </c>
      <c r="HS18" s="128"/>
      <c r="HT18" s="128"/>
      <c r="HU18" s="128"/>
      <c r="HV18" s="128"/>
      <c r="HW18" s="128"/>
      <c r="HX18" s="128"/>
      <c r="HY18" s="128"/>
      <c r="HZ18" s="128"/>
      <c r="IA18" s="128"/>
      <c r="IB18" s="128"/>
      <c r="IC18" s="128"/>
      <c r="ID18" s="128"/>
      <c r="IE18" s="128"/>
      <c r="IF18" s="128"/>
      <c r="IG18" s="128"/>
      <c r="IH18" s="128"/>
      <c r="II18" s="128"/>
      <c r="IJ18" s="128"/>
      <c r="IK18" s="192"/>
      <c r="IL18" s="193"/>
      <c r="IM18" s="128"/>
      <c r="IN18" s="128"/>
      <c r="IO18" s="192"/>
      <c r="IP18" s="193"/>
      <c r="IQ18" s="128"/>
      <c r="IR18" s="128"/>
      <c r="IS18" s="128"/>
      <c r="IT18" s="128"/>
      <c r="IU18" s="128"/>
      <c r="IV18" s="128"/>
      <c r="IW18" s="128"/>
      <c r="IX18" s="128"/>
      <c r="IY18" s="128"/>
      <c r="IZ18" s="128"/>
      <c r="JA18" s="128"/>
      <c r="JB18" s="128"/>
      <c r="JC18" s="128"/>
      <c r="JD18" s="128"/>
      <c r="JE18" s="128"/>
      <c r="JF18" s="128"/>
      <c r="JH18" s="128"/>
      <c r="JI18" s="128"/>
      <c r="JJ18" s="128"/>
      <c r="JK18" s="128"/>
      <c r="JL18" s="128"/>
      <c r="JM18" s="128"/>
      <c r="JN18" s="128"/>
      <c r="JO18" s="128"/>
      <c r="JP18" s="128"/>
      <c r="JQ18" s="128"/>
      <c r="JR18" s="186"/>
      <c r="JS18" s="187"/>
      <c r="JT18" s="128"/>
      <c r="JU18" s="128"/>
      <c r="JV18" s="128"/>
      <c r="JW18" s="128"/>
      <c r="JX18" s="128"/>
      <c r="JY18" s="128"/>
      <c r="JZ18" s="128"/>
      <c r="KA18" s="128"/>
      <c r="KB18" s="128"/>
      <c r="KC18" s="128"/>
      <c r="KD18" s="128"/>
      <c r="KE18" s="128"/>
      <c r="KF18" s="186"/>
      <c r="KG18" s="187"/>
      <c r="KH18" s="128"/>
      <c r="KI18" s="128"/>
      <c r="KJ18" s="128"/>
      <c r="KK18" s="128"/>
      <c r="KL18" s="128"/>
      <c r="KM18" s="128"/>
    </row>
    <row r="19" spans="1:299" s="153" customFormat="1" x14ac:dyDescent="0.3">
      <c r="A19" s="24">
        <v>15</v>
      </c>
      <c r="B19" s="25" t="s">
        <v>23</v>
      </c>
      <c r="C19" s="26" t="s">
        <v>47</v>
      </c>
      <c r="D19" s="213"/>
      <c r="E19" s="27">
        <f>274957.42+411821.5</f>
        <v>686778.91999999993</v>
      </c>
      <c r="F19" s="216"/>
      <c r="G19" s="27">
        <f>274957.42+413191.38</f>
        <v>688148.8</v>
      </c>
      <c r="H19" s="53">
        <f>274957.42+417466.75</f>
        <v>692424.16999999993</v>
      </c>
      <c r="I19" s="61">
        <f>274957.42+417466.75</f>
        <v>692424.16999999993</v>
      </c>
      <c r="J19" s="94">
        <v>0.26219999999999999</v>
      </c>
      <c r="K19" s="95">
        <v>0.81540000000000001</v>
      </c>
      <c r="L19" s="56">
        <f>274957.42+440917.56</f>
        <v>715874.98</v>
      </c>
      <c r="M19" s="94">
        <v>0.26219999999999999</v>
      </c>
      <c r="N19" s="95">
        <v>0.86119999999999997</v>
      </c>
      <c r="O19" s="61">
        <f>274957.42+395104.36</f>
        <v>670061.78</v>
      </c>
      <c r="P19" s="94">
        <v>0.26219999999999999</v>
      </c>
      <c r="Q19" s="95">
        <v>0.77170000000000005</v>
      </c>
      <c r="R19" s="56">
        <f>274957.42+399344.61</f>
        <v>674302.03</v>
      </c>
      <c r="S19" s="94">
        <v>0.26219999999999999</v>
      </c>
      <c r="T19" s="95">
        <v>0.78</v>
      </c>
      <c r="U19" s="203"/>
      <c r="V19" s="61">
        <f>275021.42+397401.73</f>
        <v>672423.14999999991</v>
      </c>
      <c r="W19" s="94">
        <v>0.26229999999999998</v>
      </c>
      <c r="X19" s="95">
        <v>0.7762</v>
      </c>
      <c r="Y19" s="61">
        <f>275021.42+392375.73</f>
        <v>667397.14999999991</v>
      </c>
      <c r="Z19" s="92">
        <v>0.26229999999999998</v>
      </c>
      <c r="AA19" s="96">
        <v>0.76639999999999997</v>
      </c>
      <c r="AB19" s="61">
        <f>275021.42+393679.48</f>
        <v>668700.89999999991</v>
      </c>
      <c r="AC19" s="92">
        <v>0.26229999999999998</v>
      </c>
      <c r="AD19" s="96">
        <v>0.76890000000000003</v>
      </c>
      <c r="AE19" s="27">
        <f>275021.42+398012.3</f>
        <v>673033.72</v>
      </c>
      <c r="AF19" s="92">
        <v>0.26229999999999998</v>
      </c>
      <c r="AG19" s="92">
        <v>0.7792</v>
      </c>
      <c r="AH19" s="27">
        <f>275021.42+398112.3</f>
        <v>673133.72</v>
      </c>
      <c r="AI19" s="94">
        <v>0.26229999999999998</v>
      </c>
      <c r="AJ19" s="94">
        <v>0.77759999999999996</v>
      </c>
      <c r="AK19" s="27">
        <f>275021.42+411682.73</f>
        <v>686704.14999999991</v>
      </c>
      <c r="AL19" s="94">
        <v>0.26229999999999998</v>
      </c>
      <c r="AM19" s="154">
        <v>0.80410000000000004</v>
      </c>
      <c r="AN19" s="186"/>
      <c r="AO19" s="223"/>
      <c r="AP19" s="187"/>
      <c r="AQ19" s="27">
        <f>275021.42+423606.61</f>
        <v>698628.03</v>
      </c>
      <c r="AR19" s="94">
        <v>0.26229999999999998</v>
      </c>
      <c r="AS19" s="154">
        <v>0.82740000000000002</v>
      </c>
      <c r="AT19" s="27">
        <f>275021.42+416791.98</f>
        <v>691813.39999999991</v>
      </c>
      <c r="AU19" s="94">
        <v>0.26229999999999998</v>
      </c>
      <c r="AV19" s="154">
        <v>0.81410000000000005</v>
      </c>
      <c r="AW19" s="192"/>
      <c r="AX19" s="193"/>
      <c r="AY19" s="196"/>
      <c r="AZ19" s="192"/>
      <c r="BA19" s="193"/>
      <c r="BB19" s="196"/>
      <c r="BC19" s="27">
        <f>275469.42+426882.8</f>
        <v>702352.22</v>
      </c>
      <c r="BD19" s="94">
        <v>0.26269999999999999</v>
      </c>
      <c r="BE19" s="154">
        <v>0.83379999999999999</v>
      </c>
      <c r="BF19" s="27">
        <f>275533.42+433590.17</f>
        <v>709123.59</v>
      </c>
      <c r="BG19" s="94">
        <v>0.26279999999999998</v>
      </c>
      <c r="BH19" s="154">
        <v>0.84689999999999999</v>
      </c>
      <c r="BI19" s="228"/>
      <c r="BJ19" s="27">
        <f>275533.42+425568.98</f>
        <v>701102.39999999991</v>
      </c>
      <c r="BK19" s="94">
        <v>0.26279999999999998</v>
      </c>
      <c r="BL19" s="154">
        <v>0.83120000000000005</v>
      </c>
      <c r="BM19" s="27">
        <f>275533.42+175793.17</f>
        <v>451326.58999999997</v>
      </c>
      <c r="BN19" s="94">
        <v>0.26279999999999998</v>
      </c>
      <c r="BO19" s="94">
        <v>0.34339999999999998</v>
      </c>
      <c r="BP19" s="27">
        <f>275533.42+189289.42</f>
        <v>464822.83999999997</v>
      </c>
      <c r="BQ19" s="94">
        <v>0.26279999999999998</v>
      </c>
      <c r="BR19" s="94">
        <v>0.36969999999999997</v>
      </c>
      <c r="BS19" s="27">
        <f>275533.42+196957.8</f>
        <v>472491.22</v>
      </c>
      <c r="BT19" s="94">
        <v>0.26279999999999998</v>
      </c>
      <c r="BU19" s="94">
        <v>0.36470000000000002</v>
      </c>
      <c r="BV19" s="27">
        <f>275533.42+183625.11</f>
        <v>459158.52999999997</v>
      </c>
      <c r="BW19" s="94">
        <v>0.26279999999999998</v>
      </c>
      <c r="BX19" s="94">
        <v>0.35870000000000002</v>
      </c>
      <c r="BY19" s="27">
        <f>275533.42+197621.42</f>
        <v>473154.83999999997</v>
      </c>
      <c r="BZ19" s="94">
        <v>0.26279999999999998</v>
      </c>
      <c r="CA19" s="94">
        <v>0.38600000000000001</v>
      </c>
      <c r="CC19" s="53">
        <f>269.08/1023.98*100</f>
        <v>26.277856989394323</v>
      </c>
      <c r="CD19" s="53">
        <f>200.44/499.98*100</f>
        <v>40.089603584143362</v>
      </c>
      <c r="CE19" s="53">
        <f>269.08/1023.98*100</f>
        <v>26.277856989394323</v>
      </c>
      <c r="CF19" s="53">
        <f>202.37/499.98*100</f>
        <v>40.475619024760988</v>
      </c>
      <c r="CG19" s="53">
        <f>269.08/1023.98*100</f>
        <v>26.277856989394323</v>
      </c>
      <c r="CH19" s="53">
        <f>191.48/499.98*100</f>
        <v>38.297531901276052</v>
      </c>
      <c r="CI19" s="53">
        <f>269.08/1023.98*100</f>
        <v>26.277856989394323</v>
      </c>
      <c r="CJ19" s="53">
        <f>208.54/499.98*100</f>
        <v>41.709668386735466</v>
      </c>
      <c r="CK19" s="53">
        <f>269.08/1023.98*100</f>
        <v>26.277856989394323</v>
      </c>
      <c r="CL19" s="53">
        <f>215.77/499.98*100</f>
        <v>43.155726229049165</v>
      </c>
      <c r="CM19" s="53">
        <f>269.08/1023.98*100</f>
        <v>26.277856989394323</v>
      </c>
      <c r="CN19" s="53">
        <f>206.49/499.98*100</f>
        <v>41.299651986079446</v>
      </c>
      <c r="CO19" s="232"/>
      <c r="CP19" s="233"/>
      <c r="CQ19" s="53">
        <f>269.08/1023.98*100</f>
        <v>26.277856989394323</v>
      </c>
      <c r="CR19" s="53">
        <f>203.86/499.98*100</f>
        <v>40.773630945237812</v>
      </c>
      <c r="CS19" s="53">
        <f>269.08/1023.98*100</f>
        <v>26.277856989394323</v>
      </c>
      <c r="CT19" s="53">
        <f>217.7/499.98*100</f>
        <v>43.541741669666784</v>
      </c>
      <c r="CU19" s="53">
        <f>269.08/1023.98*100</f>
        <v>26.277856989394323</v>
      </c>
      <c r="CV19" s="53">
        <f>207.92/499.98*100</f>
        <v>41.585663426537053</v>
      </c>
      <c r="CW19" s="53">
        <f>269.08/1023.98*100</f>
        <v>26.277856989394323</v>
      </c>
      <c r="CX19" s="53">
        <f>218.74/499.98*100</f>
        <v>43.7497499899996</v>
      </c>
      <c r="CY19" s="53">
        <f>269.08/1023.98*100</f>
        <v>26.277856989394323</v>
      </c>
      <c r="CZ19" s="53">
        <f>216.87/499.98*100</f>
        <v>43.375735029401177</v>
      </c>
      <c r="DA19" s="192"/>
      <c r="DB19" s="193"/>
      <c r="DC19" s="192"/>
      <c r="DD19" s="193"/>
      <c r="DE19" s="53">
        <f>269.08/1023.98*100</f>
        <v>26.277856989394323</v>
      </c>
      <c r="DF19" s="53">
        <f>226.82/499.98*100</f>
        <v>45.365814632585298</v>
      </c>
      <c r="DG19" s="53">
        <f>269.08/1023.98*100</f>
        <v>26.277856989394323</v>
      </c>
      <c r="DH19" s="53">
        <f>231.18/499.98*100</f>
        <v>46.237849513980564</v>
      </c>
      <c r="DI19" s="53">
        <f>269.08/1023.98*100</f>
        <v>26.277856989394323</v>
      </c>
      <c r="DJ19" s="53">
        <f>230.77/499.98*100</f>
        <v>46.15584623384936</v>
      </c>
      <c r="DK19" s="53">
        <f>269.08/1023.98*100</f>
        <v>26.277856989394323</v>
      </c>
      <c r="DL19" s="53">
        <f>232.87/499.98*100</f>
        <v>46.575863034521383</v>
      </c>
      <c r="DM19" s="53">
        <f>269.08/1023.98*100</f>
        <v>26.277856989394323</v>
      </c>
      <c r="DN19" s="53">
        <f>236.63/499.98*100</f>
        <v>47.327893115724628</v>
      </c>
      <c r="DO19" s="128">
        <f>269.08/1023.98*100</f>
        <v>26.277856989394323</v>
      </c>
      <c r="DP19" s="128">
        <f>243/499.98*100</f>
        <v>48.601944077763108</v>
      </c>
      <c r="DQ19" s="192"/>
      <c r="DR19" s="193"/>
      <c r="DS19" s="128">
        <f>269.08/1023.98*100</f>
        <v>26.277856989394323</v>
      </c>
      <c r="DT19" s="128">
        <f>242.87/499.98*100</f>
        <v>48.575943037721508</v>
      </c>
      <c r="DU19" s="128">
        <f>269.08/1023.98*100</f>
        <v>26.277856989394323</v>
      </c>
      <c r="DV19" s="128">
        <f>243/499.98*100</f>
        <v>48.601944077763108</v>
      </c>
      <c r="DW19" s="192"/>
      <c r="DX19" s="193"/>
      <c r="DY19" s="128">
        <f>431.84/1023.98*100</f>
        <v>42.172698685521198</v>
      </c>
      <c r="DZ19" s="128">
        <f>5.86/499.98*100</f>
        <v>1.1720468818752752</v>
      </c>
      <c r="EA19" s="128">
        <f>269.2/1023.98*100</f>
        <v>26.289575968280626</v>
      </c>
      <c r="EB19" s="128">
        <f>308.43/499.98*100</f>
        <v>61.688467538701552</v>
      </c>
      <c r="EC19" s="128">
        <f>269.2/1023.98*100</f>
        <v>26.289575968280626</v>
      </c>
      <c r="ED19" s="128">
        <f>323.94/499.98*100</f>
        <v>64.790591623664938</v>
      </c>
      <c r="EE19" s="192"/>
      <c r="EF19" s="193"/>
      <c r="EG19" s="27"/>
      <c r="EH19" s="94"/>
      <c r="EI19" s="128">
        <f>269.2/1023.98*100</f>
        <v>26.289575968280626</v>
      </c>
      <c r="EJ19" s="128">
        <f>315.06/499.98*100</f>
        <v>63.01452058082323</v>
      </c>
      <c r="EL19" s="53"/>
      <c r="EM19" s="53"/>
      <c r="EN19" s="192"/>
      <c r="EO19" s="193"/>
      <c r="EP19" s="128">
        <f>269.2/1023.98*100</f>
        <v>26.289575968280626</v>
      </c>
      <c r="EQ19" s="128">
        <f>324.39/499.98*100</f>
        <v>64.880595223808939</v>
      </c>
      <c r="ER19" s="128">
        <f>269.2/1023.98*100</f>
        <v>26.289575968280626</v>
      </c>
      <c r="ES19" s="128">
        <f>325.74/499.98*100</f>
        <v>65.150606024240972</v>
      </c>
      <c r="ET19" s="192"/>
      <c r="EU19" s="193"/>
      <c r="EV19" s="128">
        <f>269.2/1023.98*100</f>
        <v>26.289575968280626</v>
      </c>
      <c r="EW19" s="128">
        <f>336/499.98*100</f>
        <v>67.202688107524295</v>
      </c>
      <c r="EX19" s="128">
        <f>269.2/1023.98*100</f>
        <v>26.289575968280626</v>
      </c>
      <c r="EY19" s="128">
        <f>336/499.98*100</f>
        <v>67.202688107524295</v>
      </c>
      <c r="EZ19" s="128">
        <f>269.2/1023.98*100</f>
        <v>26.289575968280626</v>
      </c>
      <c r="FA19" s="128">
        <f>358.55/499.98*100</f>
        <v>71.712868514740592</v>
      </c>
      <c r="FB19" s="128">
        <f>269.2/1023.98*100</f>
        <v>26.289575968280626</v>
      </c>
      <c r="FC19" s="128">
        <v>66.959999999999994</v>
      </c>
      <c r="FD19" s="128">
        <v>26.3</v>
      </c>
      <c r="FE19" s="128">
        <v>69.22</v>
      </c>
      <c r="FF19" s="128">
        <v>26.3</v>
      </c>
      <c r="FG19" s="128">
        <v>69.22</v>
      </c>
      <c r="FH19" s="192"/>
      <c r="FI19" s="193"/>
      <c r="FJ19" s="128">
        <v>26.3</v>
      </c>
      <c r="FK19" s="128">
        <v>23.57</v>
      </c>
      <c r="FL19" s="128">
        <v>26.3</v>
      </c>
      <c r="FM19" s="128">
        <v>24.06</v>
      </c>
      <c r="FN19" s="128">
        <v>26.3</v>
      </c>
      <c r="FO19" s="128">
        <v>24.67</v>
      </c>
      <c r="FP19" s="128">
        <v>26.3</v>
      </c>
      <c r="FQ19" s="128">
        <v>25.91</v>
      </c>
      <c r="FR19" s="128">
        <v>26.3</v>
      </c>
      <c r="FS19" s="128">
        <v>25.83</v>
      </c>
      <c r="FT19" s="192"/>
      <c r="FU19" s="193"/>
      <c r="FV19" s="192"/>
      <c r="FW19" s="193"/>
      <c r="FX19" s="128">
        <v>26.3</v>
      </c>
      <c r="FY19" s="128">
        <v>27.39</v>
      </c>
      <c r="FZ19" s="128">
        <v>26.3</v>
      </c>
      <c r="GA19" s="128">
        <v>28.47</v>
      </c>
      <c r="GB19" s="128">
        <v>26.3</v>
      </c>
      <c r="GC19" s="128">
        <v>28.88</v>
      </c>
      <c r="GD19" s="128">
        <v>26.3</v>
      </c>
      <c r="GE19" s="128">
        <v>28.52</v>
      </c>
      <c r="GF19" s="128">
        <v>26.3</v>
      </c>
      <c r="GG19" s="128">
        <v>28.59</v>
      </c>
      <c r="GH19" s="128"/>
      <c r="GI19" s="128"/>
      <c r="GJ19" s="192"/>
      <c r="GK19" s="193"/>
      <c r="GL19" s="128">
        <v>25.68</v>
      </c>
      <c r="GM19" s="128">
        <v>30.04</v>
      </c>
      <c r="GN19" s="128">
        <v>49.02</v>
      </c>
      <c r="GO19" s="128">
        <v>18.27</v>
      </c>
      <c r="GP19" s="128">
        <v>64.849999999999994</v>
      </c>
      <c r="GQ19" s="128">
        <v>9.5</v>
      </c>
      <c r="GR19" s="128">
        <v>64.849999999999994</v>
      </c>
      <c r="GS19" s="128">
        <v>9.5</v>
      </c>
      <c r="GT19" s="27">
        <v>64.89</v>
      </c>
      <c r="GU19" s="27">
        <v>84.12</v>
      </c>
      <c r="GW19" s="27">
        <v>64.89</v>
      </c>
      <c r="GX19" s="27">
        <v>84.12</v>
      </c>
      <c r="GY19" s="192"/>
      <c r="GZ19" s="193"/>
      <c r="HA19" s="192"/>
      <c r="HB19" s="193"/>
      <c r="HC19" s="53">
        <v>77.13</v>
      </c>
      <c r="HD19" s="53">
        <v>28.15</v>
      </c>
      <c r="HE19" s="53"/>
      <c r="HF19" s="53"/>
      <c r="HG19" s="192"/>
      <c r="HH19" s="193"/>
      <c r="HI19" s="192"/>
      <c r="HJ19" s="193"/>
      <c r="HK19" s="53">
        <v>77.489999999999995</v>
      </c>
      <c r="HL19" s="53">
        <v>89.87</v>
      </c>
      <c r="HM19" s="192"/>
      <c r="HN19" s="193"/>
      <c r="HO19" s="128"/>
      <c r="HP19" s="128"/>
      <c r="HQ19" s="128"/>
      <c r="HR19" s="128"/>
      <c r="HS19" s="128"/>
      <c r="HT19" s="128"/>
      <c r="HU19" s="128"/>
      <c r="HV19" s="128"/>
      <c r="HW19" s="128"/>
      <c r="HX19" s="128"/>
      <c r="HY19" s="128"/>
      <c r="HZ19" s="128"/>
      <c r="IA19" s="128"/>
      <c r="IB19" s="128"/>
      <c r="IC19" s="128"/>
      <c r="ID19" s="128"/>
      <c r="IE19" s="128"/>
      <c r="IF19" s="128"/>
      <c r="IG19" s="128"/>
      <c r="IH19" s="128"/>
      <c r="II19" s="128"/>
      <c r="IJ19" s="128"/>
      <c r="IK19" s="192"/>
      <c r="IL19" s="193"/>
      <c r="IM19" s="128"/>
      <c r="IN19" s="128"/>
      <c r="IO19" s="192"/>
      <c r="IP19" s="193"/>
      <c r="IQ19" s="128"/>
      <c r="IR19" s="128"/>
      <c r="IS19" s="128"/>
      <c r="IT19" s="128"/>
      <c r="IU19" s="128"/>
      <c r="IV19" s="128"/>
      <c r="IW19" s="128"/>
      <c r="IX19" s="128"/>
      <c r="IY19" s="128"/>
      <c r="IZ19" s="128"/>
      <c r="JA19" s="128"/>
      <c r="JB19" s="128"/>
      <c r="JC19" s="128"/>
      <c r="JD19" s="128"/>
      <c r="JE19" s="128"/>
      <c r="JF19" s="128"/>
      <c r="JH19" s="128"/>
      <c r="JI19" s="128"/>
      <c r="JJ19" s="128"/>
      <c r="JK19" s="128"/>
      <c r="JL19" s="128"/>
      <c r="JM19" s="128"/>
      <c r="JN19" s="128"/>
      <c r="JO19" s="128"/>
      <c r="JP19" s="128"/>
      <c r="JQ19" s="128"/>
      <c r="JR19" s="186"/>
      <c r="JS19" s="187"/>
      <c r="JT19" s="128"/>
      <c r="JU19" s="128"/>
      <c r="JV19" s="128"/>
      <c r="JW19" s="128"/>
      <c r="JX19" s="128"/>
      <c r="JY19" s="128"/>
      <c r="JZ19" s="128"/>
      <c r="KA19" s="128"/>
      <c r="KB19" s="128"/>
      <c r="KC19" s="128"/>
      <c r="KD19" s="128"/>
      <c r="KE19" s="128"/>
      <c r="KF19" s="186"/>
      <c r="KG19" s="187"/>
      <c r="KH19" s="128"/>
      <c r="KI19" s="128"/>
      <c r="KJ19" s="128"/>
      <c r="KK19" s="128"/>
      <c r="KL19" s="128"/>
      <c r="KM19" s="128"/>
    </row>
    <row r="20" spans="1:299" x14ac:dyDescent="0.3">
      <c r="A20" s="5">
        <v>16</v>
      </c>
      <c r="B20" s="4" t="s">
        <v>24</v>
      </c>
      <c r="C20" s="6" t="s">
        <v>52</v>
      </c>
      <c r="D20" s="213"/>
      <c r="E20" s="14">
        <f>764403.98+181006.6</f>
        <v>945410.58</v>
      </c>
      <c r="F20" s="216"/>
      <c r="G20" s="14">
        <f>766914.98+181996.52</f>
        <v>948911.5</v>
      </c>
      <c r="H20" s="72">
        <f>767702.98+182483.33</f>
        <v>950186.30999999994</v>
      </c>
      <c r="I20" s="45">
        <f>768784.98+187561.37</f>
        <v>956346.35</v>
      </c>
      <c r="J20" s="22">
        <v>0.9385</v>
      </c>
      <c r="K20" s="60">
        <v>0.61060000000000003</v>
      </c>
      <c r="L20" s="55">
        <f>770337.98+184807.09</f>
        <v>955145.07</v>
      </c>
      <c r="M20" s="22">
        <v>0.94040000000000001</v>
      </c>
      <c r="N20" s="60">
        <v>0.60160000000000002</v>
      </c>
      <c r="O20" s="45">
        <f>771310.98+190655.71</f>
        <v>961966.69</v>
      </c>
      <c r="P20" s="51">
        <v>0.94159999999999999</v>
      </c>
      <c r="Q20" s="60">
        <v>0.62070000000000003</v>
      </c>
      <c r="R20" s="55">
        <f>772135.98+187475.11</f>
        <v>959611.09</v>
      </c>
      <c r="S20" s="51">
        <v>0.94259999999999999</v>
      </c>
      <c r="T20" s="60">
        <v>0.61029999999999995</v>
      </c>
      <c r="U20" s="203"/>
      <c r="V20" s="45">
        <f>774532.98+192025.23</f>
        <v>966558.21</v>
      </c>
      <c r="W20" s="51">
        <v>0.94550000000000001</v>
      </c>
      <c r="X20" s="60">
        <v>0.62509999999999999</v>
      </c>
      <c r="Y20" s="45">
        <f>775387.98+193682.65</f>
        <v>969070.63</v>
      </c>
      <c r="Z20" s="78">
        <v>0.94650000000000001</v>
      </c>
      <c r="AA20" s="79">
        <v>0.63049999999999995</v>
      </c>
      <c r="AB20" s="45">
        <f>776460.98+157840.28</f>
        <v>934301.26</v>
      </c>
      <c r="AC20" s="78">
        <v>0.94779999999999998</v>
      </c>
      <c r="AD20" s="79">
        <v>0.51380000000000003</v>
      </c>
      <c r="AE20" s="55">
        <f>777505.28+155893.51</f>
        <v>933398.79</v>
      </c>
      <c r="AF20" s="78">
        <v>0.94910000000000005</v>
      </c>
      <c r="AG20" s="77">
        <v>0.50749999999999995</v>
      </c>
      <c r="AH20" s="14">
        <f>778781.98+159491.56</f>
        <v>938273.54</v>
      </c>
      <c r="AI20" s="51">
        <v>0.95069999999999999</v>
      </c>
      <c r="AJ20" s="22">
        <v>0.51919999999999999</v>
      </c>
      <c r="AK20" s="14">
        <f>789517.91+155496.73</f>
        <v>945014.64</v>
      </c>
      <c r="AL20" s="51">
        <v>0.96379999999999999</v>
      </c>
      <c r="AM20" s="22">
        <v>0.50619999999999998</v>
      </c>
      <c r="AN20" s="186"/>
      <c r="AO20" s="223"/>
      <c r="AP20" s="187"/>
      <c r="AQ20" s="14">
        <f>789588.91+178982.54</f>
        <v>968571.45000000007</v>
      </c>
      <c r="AR20" s="51">
        <v>0.96389999999999998</v>
      </c>
      <c r="AS20" s="22">
        <v>0.5827</v>
      </c>
      <c r="AT20" s="14">
        <f>790667.85+181789.47</f>
        <v>972457.32</v>
      </c>
      <c r="AU20" s="51">
        <v>0.96389999999999998</v>
      </c>
      <c r="AV20" s="22">
        <v>0.59179999999999999</v>
      </c>
      <c r="AW20" s="192"/>
      <c r="AX20" s="193"/>
      <c r="AY20" s="196"/>
      <c r="AZ20" s="192"/>
      <c r="BA20" s="193"/>
      <c r="BB20" s="196"/>
      <c r="BC20" s="14">
        <f>801680.85+180592.13</f>
        <v>982272.98</v>
      </c>
      <c r="BD20" s="51">
        <v>0.97860000000000003</v>
      </c>
      <c r="BE20" s="22">
        <v>0.58789999999999998</v>
      </c>
      <c r="BF20" s="14">
        <f>802763.85+182165.79</f>
        <v>984929.64</v>
      </c>
      <c r="BG20" s="51">
        <v>0.98</v>
      </c>
      <c r="BH20" s="22">
        <v>0.59299999999999997</v>
      </c>
      <c r="BI20" s="228"/>
      <c r="BJ20" s="14">
        <f>812675.85+182236.88</f>
        <v>994912.73</v>
      </c>
      <c r="BK20" s="51">
        <v>0.99209999999999998</v>
      </c>
      <c r="BL20" s="99">
        <v>0.59330000000000005</v>
      </c>
      <c r="BM20" s="14">
        <f>499387.54+152036.19</f>
        <v>651423.73</v>
      </c>
      <c r="BN20" s="22">
        <v>0.60960000000000003</v>
      </c>
      <c r="BO20" s="22">
        <v>0.49490000000000001</v>
      </c>
      <c r="BP20" s="14">
        <f>500229.54+163644.52</f>
        <v>663874.05999999994</v>
      </c>
      <c r="BQ20" s="22">
        <v>0.61060000000000003</v>
      </c>
      <c r="BR20" s="22">
        <v>0.53269999999999995</v>
      </c>
      <c r="BS20" s="14">
        <f>504225.54+138576.94</f>
        <v>642802.48</v>
      </c>
      <c r="BT20" s="22">
        <v>0.61550000000000005</v>
      </c>
      <c r="BU20" s="22">
        <v>0.4511</v>
      </c>
      <c r="BV20" s="14">
        <f>506637.54+148640.16</f>
        <v>655277.69999999995</v>
      </c>
      <c r="BW20" s="22">
        <v>0.61850000000000005</v>
      </c>
      <c r="BX20" s="22">
        <v>0.4839</v>
      </c>
      <c r="BY20" s="14">
        <f>511031.54+149224.13</f>
        <v>660255.66999999993</v>
      </c>
      <c r="BZ20" s="22">
        <v>0.62380000000000002</v>
      </c>
      <c r="CA20" s="22">
        <v>0.48580000000000001</v>
      </c>
      <c r="CC20" s="72">
        <f>505.87/799.98*100</f>
        <v>63.235330883272077</v>
      </c>
      <c r="CD20" s="72">
        <f>129.19/299.98*100</f>
        <v>43.066204413627574</v>
      </c>
      <c r="CE20" s="72">
        <f>507.27/799.98*100</f>
        <v>63.410335258381458</v>
      </c>
      <c r="CF20" s="72">
        <f>134.81/299.98*100</f>
        <v>44.939662644176273</v>
      </c>
      <c r="CG20" s="72">
        <f>508.54/799.98*100</f>
        <v>63.569089227230677</v>
      </c>
      <c r="CH20" s="72">
        <f>125.51/299.98*100</f>
        <v>41.839455963730913</v>
      </c>
      <c r="CI20" s="72">
        <f>512.65/799.98*100</f>
        <v>64.082852071301772</v>
      </c>
      <c r="CJ20" s="72">
        <f>136.87/299.98*100</f>
        <v>45.626375091672777</v>
      </c>
      <c r="CK20" s="72">
        <f>514.82/799.98*100</f>
        <v>64.354108852721325</v>
      </c>
      <c r="CL20" s="72">
        <f>46.06/299.98*100</f>
        <v>15.354356957130474</v>
      </c>
      <c r="CM20" s="72">
        <f>516.08/799.98*100</f>
        <v>64.511612790319759</v>
      </c>
      <c r="CN20" s="72">
        <f>147.27/299.98*100</f>
        <v>49.09327288485899</v>
      </c>
      <c r="CO20" s="232"/>
      <c r="CP20" s="233"/>
      <c r="CQ20" s="72">
        <f>525.81/799.98*100</f>
        <v>65.727893197329919</v>
      </c>
      <c r="CR20" s="72">
        <f>146.28/299.98*100</f>
        <v>48.763250883392224</v>
      </c>
      <c r="CS20" s="72">
        <f>531.9/799.98*100</f>
        <v>66.489162229055722</v>
      </c>
      <c r="CT20" s="72">
        <f>138.6/299.98*100</f>
        <v>46.203080205347021</v>
      </c>
      <c r="CU20" s="72">
        <f>533.01/799.98*100</f>
        <v>66.627915697892448</v>
      </c>
      <c r="CV20" s="72">
        <f>149.32/299.98*100</f>
        <v>49.776651776785116</v>
      </c>
      <c r="CW20" s="72">
        <f>540.77/799.98*100</f>
        <v>67.597939948498706</v>
      </c>
      <c r="CX20" s="72">
        <f>143.52/299.98*100</f>
        <v>47.843189545969736</v>
      </c>
      <c r="CY20" s="72">
        <f>545.35/799.98*100</f>
        <v>68.170454261356539</v>
      </c>
      <c r="CZ20" s="72">
        <f>142.19/299.98*100</f>
        <v>47.399826655110338</v>
      </c>
      <c r="DA20" s="192"/>
      <c r="DB20" s="193"/>
      <c r="DC20" s="192"/>
      <c r="DD20" s="193"/>
      <c r="DE20" s="72">
        <f>548.92/799.98*100</f>
        <v>68.616715417885445</v>
      </c>
      <c r="DF20" s="72">
        <f>142.02/299.98*100</f>
        <v>47.34315621041403</v>
      </c>
      <c r="DG20" s="72">
        <f>550.93/799.98*100</f>
        <v>68.867971699292468</v>
      </c>
      <c r="DH20" s="72">
        <f>139.62/299.98*100</f>
        <v>46.543102873524901</v>
      </c>
      <c r="DI20" s="72">
        <f>551.68/799.98*100</f>
        <v>68.961724043101071</v>
      </c>
      <c r="DJ20" s="72">
        <f>138.51/299.98*100</f>
        <v>46.173078205213677</v>
      </c>
      <c r="DK20" s="72">
        <f>552.2/799.98*100</f>
        <v>69.026725668141708</v>
      </c>
      <c r="DL20" s="72">
        <f>125.45/299.98*100</f>
        <v>41.819454630308684</v>
      </c>
      <c r="DM20" s="72">
        <f>553.02/799.98*100</f>
        <v>69.129228230705763</v>
      </c>
      <c r="DN20" s="72">
        <f>125.91/299.98*100</f>
        <v>41.972798186545766</v>
      </c>
      <c r="DO20" s="129">
        <f>553.83/799.98*100</f>
        <v>69.230480762019056</v>
      </c>
      <c r="DP20" s="129">
        <f>126.03/299.98*100</f>
        <v>42.012800853390225</v>
      </c>
      <c r="DQ20" s="192"/>
      <c r="DR20" s="193"/>
      <c r="DS20" s="129">
        <f>555.04/799.98*100</f>
        <v>69.381734543363578</v>
      </c>
      <c r="DT20" s="129">
        <f>117.033/299.98*100</f>
        <v>39.013600906727113</v>
      </c>
      <c r="DU20" s="129">
        <f>555.04/799.98*100</f>
        <v>69.381734543363578</v>
      </c>
      <c r="DV20" s="129">
        <f>117.033/299.98*100</f>
        <v>39.013600906727113</v>
      </c>
      <c r="DW20" s="192"/>
      <c r="DX20" s="193"/>
      <c r="DY20" s="129">
        <f>556.96/799.98*100</f>
        <v>69.621740543513582</v>
      </c>
      <c r="DZ20" s="129">
        <f>127.05/299.98*100</f>
        <v>42.352823521568098</v>
      </c>
      <c r="EA20" s="129">
        <f>557.66/799.98*100</f>
        <v>69.709242731068272</v>
      </c>
      <c r="EB20" s="129">
        <f>127.13/299.98*100</f>
        <v>42.37949196613107</v>
      </c>
      <c r="EC20" s="129">
        <f>559.27/799.98*100</f>
        <v>69.910497762444052</v>
      </c>
      <c r="ED20" s="129">
        <f>127.61/299.98*100</f>
        <v>42.539502633508896</v>
      </c>
      <c r="EE20" s="192"/>
      <c r="EF20" s="193"/>
      <c r="EG20" s="14"/>
      <c r="EH20" s="22"/>
      <c r="EI20" s="129">
        <f>561.03/799.98*100</f>
        <v>70.130503262581556</v>
      </c>
      <c r="EJ20" s="129">
        <f>105.07/299.98*100</f>
        <v>35.025668377891854</v>
      </c>
      <c r="EL20" s="72"/>
      <c r="EM20" s="72"/>
      <c r="EN20" s="192"/>
      <c r="EO20" s="193"/>
      <c r="EP20" s="129">
        <f>562.84/799.98*100</f>
        <v>70.356758918972972</v>
      </c>
      <c r="EQ20" s="129">
        <f>105.59/299.98*100</f>
        <v>35.199013267551173</v>
      </c>
      <c r="ER20" s="129">
        <f>563.57/799.98*100</f>
        <v>70.448011200280007</v>
      </c>
      <c r="ES20" s="129">
        <f>105.76/299.98*100</f>
        <v>35.255683712247482</v>
      </c>
      <c r="ET20" s="192"/>
      <c r="EU20" s="193"/>
      <c r="EV20" s="129">
        <f>564.7/799.98*100</f>
        <v>70.5892647316183</v>
      </c>
      <c r="EW20" s="129">
        <f>105.76/299.98*100</f>
        <v>35.255683712247482</v>
      </c>
      <c r="EX20" s="129">
        <f>565.39/799.98*100</f>
        <v>70.6755168879222</v>
      </c>
      <c r="EY20" s="129">
        <f>105.4/299.98*100</f>
        <v>35.135675711714114</v>
      </c>
      <c r="EZ20" s="129">
        <f>566.51/799.98*100</f>
        <v>70.815520388009702</v>
      </c>
      <c r="FA20" s="129">
        <f>105.64/299.98*100</f>
        <v>35.215681045403024</v>
      </c>
      <c r="FB20" s="129">
        <v>70.89</v>
      </c>
      <c r="FC20" s="129">
        <v>35.28</v>
      </c>
      <c r="FD20" s="72">
        <v>70.959999999999994</v>
      </c>
      <c r="FE20" s="72">
        <v>35.270000000000003</v>
      </c>
      <c r="FF20" s="72">
        <v>71.040000000000006</v>
      </c>
      <c r="FG20" s="72">
        <v>35.36</v>
      </c>
      <c r="FH20" s="192"/>
      <c r="FI20" s="193"/>
      <c r="FJ20" s="72">
        <v>71.17</v>
      </c>
      <c r="FK20" s="72">
        <v>35.159999999999997</v>
      </c>
      <c r="FL20" s="72">
        <v>71.17</v>
      </c>
      <c r="FM20" s="72">
        <v>35.159999999999997</v>
      </c>
      <c r="FN20" s="72">
        <v>71.3</v>
      </c>
      <c r="FO20" s="72">
        <v>35.28</v>
      </c>
      <c r="FP20" s="72">
        <v>71.36</v>
      </c>
      <c r="FQ20" s="72">
        <v>35.729999999999997</v>
      </c>
      <c r="FR20" s="72">
        <v>71.41</v>
      </c>
      <c r="FS20" s="72">
        <v>35.47</v>
      </c>
      <c r="FT20" s="192"/>
      <c r="FU20" s="193"/>
      <c r="FV20" s="192"/>
      <c r="FW20" s="193"/>
      <c r="FX20" s="72">
        <v>71.41</v>
      </c>
      <c r="FY20" s="72">
        <v>35.47</v>
      </c>
      <c r="FZ20" s="72">
        <v>71.64</v>
      </c>
      <c r="GA20" s="72">
        <v>35.39</v>
      </c>
      <c r="GB20" s="72">
        <v>71.69</v>
      </c>
      <c r="GC20" s="72">
        <v>35.450000000000003</v>
      </c>
      <c r="GD20" s="72">
        <v>71.73</v>
      </c>
      <c r="GE20" s="72">
        <v>35.47</v>
      </c>
      <c r="GF20" s="72">
        <v>71.78</v>
      </c>
      <c r="GG20" s="72">
        <v>35.479999999999997</v>
      </c>
      <c r="GH20" s="129"/>
      <c r="GI20" s="129"/>
      <c r="GJ20" s="192"/>
      <c r="GK20" s="193"/>
      <c r="GL20" s="149">
        <v>34.06</v>
      </c>
      <c r="GM20" s="149">
        <v>14.72</v>
      </c>
      <c r="GN20" s="149">
        <v>34.119999999999997</v>
      </c>
      <c r="GO20" s="149">
        <v>16.239999999999998</v>
      </c>
      <c r="GP20" s="149">
        <v>49.15</v>
      </c>
      <c r="GQ20" s="149">
        <v>9.5</v>
      </c>
      <c r="GR20" s="149">
        <v>49.15</v>
      </c>
      <c r="GS20" s="149">
        <v>9.5</v>
      </c>
      <c r="GT20" s="149">
        <v>49.15</v>
      </c>
      <c r="GU20" s="149">
        <v>9.5</v>
      </c>
      <c r="GW20" s="149">
        <v>49.15</v>
      </c>
      <c r="GX20" s="149">
        <v>9.5</v>
      </c>
      <c r="GY20" s="192"/>
      <c r="GZ20" s="193"/>
      <c r="HA20" s="192"/>
      <c r="HB20" s="193"/>
      <c r="HC20" s="129">
        <v>34.57</v>
      </c>
      <c r="HD20" s="129">
        <v>29.23</v>
      </c>
      <c r="HE20" s="129"/>
      <c r="HF20" s="129"/>
      <c r="HG20" s="192"/>
      <c r="HH20" s="193"/>
      <c r="HI20" s="192"/>
      <c r="HJ20" s="193"/>
      <c r="HK20" s="129">
        <v>34.82</v>
      </c>
      <c r="HL20" s="129">
        <v>31.83</v>
      </c>
      <c r="HM20" s="192"/>
      <c r="HN20" s="193"/>
      <c r="HO20" s="72">
        <v>35</v>
      </c>
      <c r="HP20" s="72">
        <v>36.5</v>
      </c>
      <c r="HQ20" s="72">
        <v>35</v>
      </c>
      <c r="HR20" s="72">
        <v>36.5</v>
      </c>
      <c r="HS20" s="72">
        <v>35.07</v>
      </c>
      <c r="HT20" s="72">
        <v>38.68</v>
      </c>
      <c r="HU20" s="72">
        <v>35.119999999999997</v>
      </c>
      <c r="HV20" s="72">
        <v>42.47</v>
      </c>
      <c r="HW20" s="72">
        <v>35.119999999999997</v>
      </c>
      <c r="HX20" s="72">
        <v>42.47</v>
      </c>
      <c r="HY20" s="72">
        <v>35.4</v>
      </c>
      <c r="HZ20" s="72">
        <v>29.61</v>
      </c>
      <c r="IA20" s="72">
        <v>35.4</v>
      </c>
      <c r="IB20" s="72">
        <v>29.61</v>
      </c>
      <c r="IC20" s="72">
        <v>35.53</v>
      </c>
      <c r="ID20" s="72">
        <v>29.71</v>
      </c>
      <c r="IE20" s="72">
        <v>35.53</v>
      </c>
      <c r="IF20" s="72">
        <v>29.71</v>
      </c>
      <c r="IG20" s="72">
        <v>35.53</v>
      </c>
      <c r="IH20" s="72">
        <v>29.71</v>
      </c>
      <c r="II20" s="72">
        <v>35.57</v>
      </c>
      <c r="IJ20" s="72">
        <v>29.98</v>
      </c>
      <c r="IK20" s="192"/>
      <c r="IL20" s="193"/>
      <c r="IM20" s="72">
        <v>35.57</v>
      </c>
      <c r="IN20" s="72">
        <v>29.98</v>
      </c>
      <c r="IO20" s="192"/>
      <c r="IP20" s="193"/>
      <c r="IQ20" s="72">
        <v>35.840000000000003</v>
      </c>
      <c r="IR20" s="72">
        <v>30.9</v>
      </c>
      <c r="IS20" s="72">
        <v>35.840000000000003</v>
      </c>
      <c r="IT20" s="72">
        <v>30.9</v>
      </c>
      <c r="IU20" s="72">
        <v>35.840000000000003</v>
      </c>
      <c r="IV20" s="72">
        <v>30.9</v>
      </c>
      <c r="IW20" s="149">
        <v>36.03</v>
      </c>
      <c r="IX20" s="149">
        <v>25.33</v>
      </c>
      <c r="IY20" s="149">
        <v>36.03</v>
      </c>
      <c r="IZ20" s="149">
        <v>25.33</v>
      </c>
      <c r="JA20" s="149"/>
      <c r="JB20" s="149"/>
      <c r="JC20" s="149"/>
      <c r="JD20" s="149"/>
      <c r="JE20" s="149"/>
      <c r="JF20" s="149"/>
      <c r="JH20" s="149">
        <v>36.29</v>
      </c>
      <c r="JI20" s="149">
        <v>24.91</v>
      </c>
      <c r="JJ20" s="149">
        <v>36.29</v>
      </c>
      <c r="JK20" s="149">
        <v>24.91</v>
      </c>
      <c r="JL20" s="149">
        <v>36.29</v>
      </c>
      <c r="JM20" s="149">
        <v>24.91</v>
      </c>
      <c r="JN20" s="149">
        <v>36.29</v>
      </c>
      <c r="JO20" s="149">
        <v>24.91</v>
      </c>
      <c r="JP20" s="149">
        <v>36.44</v>
      </c>
      <c r="JQ20" s="149">
        <v>28.31</v>
      </c>
      <c r="JR20" s="186"/>
      <c r="JS20" s="187"/>
      <c r="JT20" s="149">
        <v>36.44</v>
      </c>
      <c r="JU20" s="149">
        <v>28.31</v>
      </c>
      <c r="JV20" s="149">
        <v>36.64</v>
      </c>
      <c r="JW20" s="149">
        <v>24.35</v>
      </c>
      <c r="JX20" s="149">
        <v>36.64</v>
      </c>
      <c r="JY20" s="149">
        <v>24.35</v>
      </c>
      <c r="JZ20" s="149">
        <v>36.64</v>
      </c>
      <c r="KA20" s="149">
        <v>24.35</v>
      </c>
      <c r="KB20" s="149">
        <v>36.64</v>
      </c>
      <c r="KC20" s="149">
        <v>24.35</v>
      </c>
      <c r="KD20" s="149">
        <v>36.64</v>
      </c>
      <c r="KE20" s="149">
        <v>24.35</v>
      </c>
      <c r="KF20" s="186"/>
      <c r="KG20" s="187"/>
      <c r="KH20" s="149">
        <v>36.64</v>
      </c>
      <c r="KI20" s="149">
        <v>24.35</v>
      </c>
      <c r="KJ20" s="149">
        <v>36.64</v>
      </c>
      <c r="KK20" s="149">
        <v>24.35</v>
      </c>
      <c r="KL20" s="149">
        <v>37.06</v>
      </c>
      <c r="KM20" s="149">
        <v>27.5</v>
      </c>
    </row>
    <row r="21" spans="1:299" x14ac:dyDescent="0.3">
      <c r="A21" s="5">
        <v>17</v>
      </c>
      <c r="B21" s="4" t="s">
        <v>25</v>
      </c>
      <c r="C21" s="6" t="s">
        <v>52</v>
      </c>
      <c r="D21" s="213"/>
      <c r="E21" s="14">
        <f>764403.98+181007.6</f>
        <v>945411.58</v>
      </c>
      <c r="F21" s="216"/>
      <c r="G21" s="14">
        <f>766914.98+181996.52</f>
        <v>948911.5</v>
      </c>
      <c r="H21" s="72">
        <f>767702.98+182483.33</f>
        <v>950186.30999999994</v>
      </c>
      <c r="I21" s="45">
        <f>768784.98+187561.37</f>
        <v>956346.35</v>
      </c>
      <c r="J21" s="22">
        <v>0.9385</v>
      </c>
      <c r="K21" s="60">
        <v>0.61060000000000003</v>
      </c>
      <c r="L21" s="55">
        <f>770337.98+184807.09</f>
        <v>955145.07</v>
      </c>
      <c r="M21" s="22">
        <v>0.94040000000000001</v>
      </c>
      <c r="N21" s="60">
        <v>0.60160000000000002</v>
      </c>
      <c r="O21" s="45">
        <f>771310.98+190655.71</f>
        <v>961966.69</v>
      </c>
      <c r="P21" s="51">
        <v>0.94159999999999999</v>
      </c>
      <c r="Q21" s="60">
        <v>0.62070000000000003</v>
      </c>
      <c r="R21" s="55">
        <f>772135.98+187475.11</f>
        <v>959611.09</v>
      </c>
      <c r="S21" s="51">
        <v>0.94259999999999999</v>
      </c>
      <c r="T21" s="60">
        <v>0.61029999999999995</v>
      </c>
      <c r="U21" s="203"/>
      <c r="V21" s="45">
        <f>774532.98+192025.23</f>
        <v>966558.21</v>
      </c>
      <c r="W21" s="51">
        <v>0.94550000000000001</v>
      </c>
      <c r="X21" s="60">
        <v>0.62509999999999999</v>
      </c>
      <c r="Y21" s="45">
        <f>775387.98+193682.65</f>
        <v>969070.63</v>
      </c>
      <c r="Z21" s="78">
        <v>0.94650000000000001</v>
      </c>
      <c r="AA21" s="79">
        <v>0.63049999999999995</v>
      </c>
      <c r="AB21" s="45">
        <f>776460.98+157840.28</f>
        <v>934301.26</v>
      </c>
      <c r="AC21" s="78">
        <v>0.94779999999999998</v>
      </c>
      <c r="AD21" s="79">
        <v>0.51380000000000003</v>
      </c>
      <c r="AE21" s="55">
        <f>777505.28+155893.51</f>
        <v>933398.79</v>
      </c>
      <c r="AF21" s="78">
        <v>0.94910000000000005</v>
      </c>
      <c r="AG21" s="77">
        <v>0.50749999999999995</v>
      </c>
      <c r="AH21" s="14">
        <f>778781.98+159491.56</f>
        <v>938273.54</v>
      </c>
      <c r="AI21" s="51">
        <v>0.95069999999999999</v>
      </c>
      <c r="AJ21" s="22">
        <v>0.51919999999999999</v>
      </c>
      <c r="AK21" s="14">
        <f>789517.91+155496.73</f>
        <v>945014.64</v>
      </c>
      <c r="AL21" s="51">
        <v>0.96379999999999999</v>
      </c>
      <c r="AM21" s="22">
        <v>0.50619999999999998</v>
      </c>
      <c r="AN21" s="186"/>
      <c r="AO21" s="223"/>
      <c r="AP21" s="187"/>
      <c r="AQ21" s="14">
        <f>789588.91+178982.54</f>
        <v>968571.45000000007</v>
      </c>
      <c r="AR21" s="51">
        <v>0.96389999999999998</v>
      </c>
      <c r="AS21" s="22">
        <v>0.5827</v>
      </c>
      <c r="AT21" s="14">
        <f>790667.85+181789.47</f>
        <v>972457.32</v>
      </c>
      <c r="AU21" s="51">
        <v>0.96389999999999998</v>
      </c>
      <c r="AV21" s="22">
        <v>0.59179999999999999</v>
      </c>
      <c r="AW21" s="192"/>
      <c r="AX21" s="193"/>
      <c r="AY21" s="196"/>
      <c r="AZ21" s="192"/>
      <c r="BA21" s="193"/>
      <c r="BB21" s="196"/>
      <c r="BC21" s="14">
        <f>801680.85+180592.13</f>
        <v>982272.98</v>
      </c>
      <c r="BD21" s="51">
        <v>0.97860000000000003</v>
      </c>
      <c r="BE21" s="22">
        <v>0.58789999999999998</v>
      </c>
      <c r="BF21" s="14">
        <f>802763.85+182165.79</f>
        <v>984929.64</v>
      </c>
      <c r="BG21" s="51">
        <v>0.98</v>
      </c>
      <c r="BH21" s="22">
        <v>0.59299999999999997</v>
      </c>
      <c r="BI21" s="228"/>
      <c r="BJ21" s="14">
        <f>812675.85+182236.88</f>
        <v>994912.73</v>
      </c>
      <c r="BK21" s="51">
        <v>0.99209999999999998</v>
      </c>
      <c r="BL21" s="99">
        <v>0.59330000000000005</v>
      </c>
      <c r="BM21" s="14">
        <f>499387.54+152036.19</f>
        <v>651423.73</v>
      </c>
      <c r="BN21" s="22">
        <v>0.60960000000000003</v>
      </c>
      <c r="BO21" s="22">
        <v>0.49490000000000001</v>
      </c>
      <c r="BP21" s="14">
        <f>500229.54+163644.52</f>
        <v>663874.05999999994</v>
      </c>
      <c r="BQ21" s="22">
        <v>0.61060000000000003</v>
      </c>
      <c r="BR21" s="22">
        <v>0.53269999999999995</v>
      </c>
      <c r="BS21" s="14">
        <f>504225.54+138576.94</f>
        <v>642802.48</v>
      </c>
      <c r="BT21" s="22">
        <v>0.61550000000000005</v>
      </c>
      <c r="BU21" s="22">
        <v>0.4511</v>
      </c>
      <c r="BV21" s="14">
        <f>506637.54+148640.16</f>
        <v>655277.69999999995</v>
      </c>
      <c r="BW21" s="22">
        <v>0.61850000000000005</v>
      </c>
      <c r="BX21" s="22">
        <v>0.4839</v>
      </c>
      <c r="BY21" s="14">
        <f>511031.54+149224.13</f>
        <v>660255.66999999993</v>
      </c>
      <c r="BZ21" s="22">
        <v>0.62380000000000002</v>
      </c>
      <c r="CA21" s="22">
        <v>0.48580000000000001</v>
      </c>
      <c r="CC21" s="72">
        <f>505.87/799.98*100</f>
        <v>63.235330883272077</v>
      </c>
      <c r="CD21" s="72">
        <f>129.19/299.98*100</f>
        <v>43.066204413627574</v>
      </c>
      <c r="CE21" s="72">
        <f>507.27/799.98*100</f>
        <v>63.410335258381458</v>
      </c>
      <c r="CF21" s="72">
        <f>134.81/299.98*100</f>
        <v>44.939662644176273</v>
      </c>
      <c r="CG21" s="72">
        <f>508.54/799.98*100</f>
        <v>63.569089227230677</v>
      </c>
      <c r="CH21" s="72">
        <f>125.51/299.98*100</f>
        <v>41.839455963730913</v>
      </c>
      <c r="CI21" s="72">
        <f>512.65/799.98*100</f>
        <v>64.082852071301772</v>
      </c>
      <c r="CJ21" s="72">
        <f>136.87/299.98*100</f>
        <v>45.626375091672777</v>
      </c>
      <c r="CK21" s="72">
        <f>514.82/799.98*100</f>
        <v>64.354108852721325</v>
      </c>
      <c r="CL21" s="72">
        <f>46.06/299.98*100</f>
        <v>15.354356957130474</v>
      </c>
      <c r="CM21" s="72">
        <f>516.08/799.98*100</f>
        <v>64.511612790319759</v>
      </c>
      <c r="CN21" s="72">
        <f>147.27/299.98*100</f>
        <v>49.09327288485899</v>
      </c>
      <c r="CO21" s="232"/>
      <c r="CP21" s="233"/>
      <c r="CQ21" s="72">
        <f>525.81/799.98*100</f>
        <v>65.727893197329919</v>
      </c>
      <c r="CR21" s="72">
        <f>146.28/299.98*100</f>
        <v>48.763250883392224</v>
      </c>
      <c r="CS21" s="72">
        <f>531.9/799.98*100</f>
        <v>66.489162229055722</v>
      </c>
      <c r="CT21" s="72">
        <f>138.6/299.98*100</f>
        <v>46.203080205347021</v>
      </c>
      <c r="CU21" s="72">
        <f>533.01/799.98*100</f>
        <v>66.627915697892448</v>
      </c>
      <c r="CV21" s="72">
        <f>149.32/299.98*100</f>
        <v>49.776651776785116</v>
      </c>
      <c r="CW21" s="72">
        <f>540.77/799.98*100</f>
        <v>67.597939948498706</v>
      </c>
      <c r="CX21" s="72">
        <f>143.52/299.98*100</f>
        <v>47.843189545969736</v>
      </c>
      <c r="CY21" s="72">
        <f>545.35/799.98*100</f>
        <v>68.170454261356539</v>
      </c>
      <c r="CZ21" s="72">
        <f>142.19/299.98*100</f>
        <v>47.399826655110338</v>
      </c>
      <c r="DA21" s="192"/>
      <c r="DB21" s="193"/>
      <c r="DC21" s="192"/>
      <c r="DD21" s="193"/>
      <c r="DE21" s="72">
        <f>548.92/799.98*100</f>
        <v>68.616715417885445</v>
      </c>
      <c r="DF21" s="72">
        <f>142.02/299.98*100</f>
        <v>47.34315621041403</v>
      </c>
      <c r="DG21" s="72">
        <f>550.93/799.98*100</f>
        <v>68.867971699292468</v>
      </c>
      <c r="DH21" s="72">
        <f>139.62/299.98*100</f>
        <v>46.543102873524901</v>
      </c>
      <c r="DI21" s="72">
        <f>551.68/799.98*100</f>
        <v>68.961724043101071</v>
      </c>
      <c r="DJ21" s="72">
        <f>138.51/299.98*100</f>
        <v>46.173078205213677</v>
      </c>
      <c r="DK21" s="72">
        <f>552.2/799.98*100</f>
        <v>69.026725668141708</v>
      </c>
      <c r="DL21" s="72">
        <f>125.45/299.98*100</f>
        <v>41.819454630308684</v>
      </c>
      <c r="DM21" s="72">
        <f>553.02/799.98*100</f>
        <v>69.129228230705763</v>
      </c>
      <c r="DN21" s="72">
        <f>125.91/299.98*100</f>
        <v>41.972798186545766</v>
      </c>
      <c r="DO21" s="129">
        <f>553.83/799.98*100</f>
        <v>69.230480762019056</v>
      </c>
      <c r="DP21" s="129">
        <f>126.03/299.98*100</f>
        <v>42.012800853390225</v>
      </c>
      <c r="DQ21" s="192"/>
      <c r="DR21" s="193"/>
      <c r="DS21" s="129">
        <f>555.04/799.98*100</f>
        <v>69.381734543363578</v>
      </c>
      <c r="DT21" s="129">
        <f>117.033/299.98*100</f>
        <v>39.013600906727113</v>
      </c>
      <c r="DU21" s="129">
        <f>555.04/799.98*100</f>
        <v>69.381734543363578</v>
      </c>
      <c r="DV21" s="129">
        <f>117.033/299.98*100</f>
        <v>39.013600906727113</v>
      </c>
      <c r="DW21" s="192"/>
      <c r="DX21" s="193"/>
      <c r="DY21" s="129">
        <f>556.96/799.98*100</f>
        <v>69.621740543513582</v>
      </c>
      <c r="DZ21" s="129">
        <f>127.05/299.98*100</f>
        <v>42.352823521568098</v>
      </c>
      <c r="EA21" s="129">
        <f>557.66/799.98*100</f>
        <v>69.709242731068272</v>
      </c>
      <c r="EB21" s="129">
        <f>127.13/299.98*100</f>
        <v>42.37949196613107</v>
      </c>
      <c r="EC21" s="129">
        <f>559.27/799.98*100</f>
        <v>69.910497762444052</v>
      </c>
      <c r="ED21" s="129">
        <f>127.61/299.98*100</f>
        <v>42.539502633508896</v>
      </c>
      <c r="EE21" s="192"/>
      <c r="EF21" s="193"/>
      <c r="EG21" s="14"/>
      <c r="EH21" s="22"/>
      <c r="EI21" s="129">
        <f>561.03/799.98*100</f>
        <v>70.130503262581556</v>
      </c>
      <c r="EJ21" s="129">
        <f>105.07/299.98*100</f>
        <v>35.025668377891854</v>
      </c>
      <c r="EL21" s="72"/>
      <c r="EM21" s="72"/>
      <c r="EN21" s="192"/>
      <c r="EO21" s="193"/>
      <c r="EP21" s="129">
        <f>562.84/799.98*100</f>
        <v>70.356758918972972</v>
      </c>
      <c r="EQ21" s="129">
        <f>105.59/299.98*100</f>
        <v>35.199013267551173</v>
      </c>
      <c r="ER21" s="129">
        <f>563.57/799.98*100</f>
        <v>70.448011200280007</v>
      </c>
      <c r="ES21" s="129">
        <f>105.76/299.98*100</f>
        <v>35.255683712247482</v>
      </c>
      <c r="ET21" s="192"/>
      <c r="EU21" s="193"/>
      <c r="EV21" s="129">
        <f>564.7/799.98*100</f>
        <v>70.5892647316183</v>
      </c>
      <c r="EW21" s="129">
        <f>105.76/299.98*100</f>
        <v>35.255683712247482</v>
      </c>
      <c r="EX21" s="129">
        <f>565.39/799.98*100</f>
        <v>70.6755168879222</v>
      </c>
      <c r="EY21" s="129">
        <f>105.4/299.98*100</f>
        <v>35.135675711714114</v>
      </c>
      <c r="EZ21" s="129">
        <f>566.51/799.98*100</f>
        <v>70.815520388009702</v>
      </c>
      <c r="FA21" s="129">
        <f>105.64/299.98*100</f>
        <v>35.215681045403024</v>
      </c>
      <c r="FB21" s="129">
        <v>70.89</v>
      </c>
      <c r="FC21" s="129">
        <v>35.28</v>
      </c>
      <c r="FD21" s="72">
        <v>70.959999999999994</v>
      </c>
      <c r="FE21" s="72">
        <v>35.270000000000003</v>
      </c>
      <c r="FF21" s="72">
        <v>71.040000000000006</v>
      </c>
      <c r="FG21" s="72">
        <v>35.36</v>
      </c>
      <c r="FH21" s="192"/>
      <c r="FI21" s="193"/>
      <c r="FJ21" s="72">
        <v>71.17</v>
      </c>
      <c r="FK21" s="72">
        <v>35.159999999999997</v>
      </c>
      <c r="FL21" s="72">
        <v>71.17</v>
      </c>
      <c r="FM21" s="72">
        <v>35.159999999999997</v>
      </c>
      <c r="FN21" s="72">
        <v>71.3</v>
      </c>
      <c r="FO21" s="72">
        <v>35.28</v>
      </c>
      <c r="FP21" s="72">
        <v>71.36</v>
      </c>
      <c r="FQ21" s="72">
        <v>35.729999999999997</v>
      </c>
      <c r="FR21" s="72">
        <v>71.41</v>
      </c>
      <c r="FS21" s="72">
        <v>35.47</v>
      </c>
      <c r="FT21" s="192"/>
      <c r="FU21" s="193"/>
      <c r="FV21" s="192"/>
      <c r="FW21" s="193"/>
      <c r="FX21" s="72">
        <v>71.41</v>
      </c>
      <c r="FY21" s="72">
        <v>35.47</v>
      </c>
      <c r="FZ21" s="72">
        <v>71.64</v>
      </c>
      <c r="GA21" s="72">
        <v>35.39</v>
      </c>
      <c r="GB21" s="72">
        <v>71.69</v>
      </c>
      <c r="GC21" s="72">
        <v>35.450000000000003</v>
      </c>
      <c r="GD21" s="72">
        <v>71.73</v>
      </c>
      <c r="GE21" s="72">
        <v>35.47</v>
      </c>
      <c r="GF21" s="72">
        <v>71.78</v>
      </c>
      <c r="GG21" s="72">
        <v>35.479999999999997</v>
      </c>
      <c r="GH21" s="129"/>
      <c r="GI21" s="129"/>
      <c r="GJ21" s="192"/>
      <c r="GK21" s="193"/>
      <c r="GL21" s="129">
        <v>34.06</v>
      </c>
      <c r="GM21" s="129">
        <v>14.72</v>
      </c>
      <c r="GN21" s="129">
        <v>34.119999999999997</v>
      </c>
      <c r="GO21" s="129">
        <v>16.239999999999998</v>
      </c>
      <c r="GP21" s="14">
        <v>34.24</v>
      </c>
      <c r="GQ21" s="14">
        <v>17.649999999999999</v>
      </c>
      <c r="GR21" s="14">
        <v>34.24</v>
      </c>
      <c r="GS21" s="14">
        <v>17.649999999999999</v>
      </c>
      <c r="GT21" s="14">
        <v>34.299999999999997</v>
      </c>
      <c r="GU21" s="14">
        <v>27.51</v>
      </c>
      <c r="GW21" s="14">
        <v>34.299999999999997</v>
      </c>
      <c r="GX21" s="14">
        <v>27.51</v>
      </c>
      <c r="GY21" s="192"/>
      <c r="GZ21" s="193"/>
      <c r="HA21" s="192"/>
      <c r="HB21" s="193"/>
      <c r="HC21" s="129">
        <v>34.57</v>
      </c>
      <c r="HD21" s="129">
        <v>29.23</v>
      </c>
      <c r="HE21" s="129"/>
      <c r="HF21" s="129"/>
      <c r="HG21" s="192"/>
      <c r="HH21" s="193"/>
      <c r="HI21" s="192"/>
      <c r="HJ21" s="193"/>
      <c r="HK21" s="129">
        <v>34.82</v>
      </c>
      <c r="HL21" s="129">
        <v>31.83</v>
      </c>
      <c r="HM21" s="192"/>
      <c r="HN21" s="193"/>
      <c r="HO21" s="72">
        <v>35</v>
      </c>
      <c r="HP21" s="72">
        <v>36.5</v>
      </c>
      <c r="HQ21" s="72">
        <v>35</v>
      </c>
      <c r="HR21" s="72">
        <v>36.5</v>
      </c>
      <c r="HS21" s="72">
        <v>35.07</v>
      </c>
      <c r="HT21" s="72">
        <v>38.68</v>
      </c>
      <c r="HU21" s="72">
        <v>35.119999999999997</v>
      </c>
      <c r="HV21" s="72">
        <v>42.47</v>
      </c>
      <c r="HW21" s="72">
        <v>35.119999999999997</v>
      </c>
      <c r="HX21" s="72">
        <v>42.47</v>
      </c>
      <c r="HY21" s="72">
        <v>35.4</v>
      </c>
      <c r="HZ21" s="72">
        <v>29.61</v>
      </c>
      <c r="IA21" s="72">
        <v>35.4</v>
      </c>
      <c r="IB21" s="72">
        <v>29.61</v>
      </c>
      <c r="IC21" s="72">
        <v>35.53</v>
      </c>
      <c r="ID21" s="72">
        <v>29.71</v>
      </c>
      <c r="IE21" s="72">
        <v>35.53</v>
      </c>
      <c r="IF21" s="72">
        <v>29.71</v>
      </c>
      <c r="IG21" s="72">
        <v>35.53</v>
      </c>
      <c r="IH21" s="72">
        <v>29.71</v>
      </c>
      <c r="II21" s="72">
        <v>35.57</v>
      </c>
      <c r="IJ21" s="72">
        <v>29.98</v>
      </c>
      <c r="IK21" s="192"/>
      <c r="IL21" s="193"/>
      <c r="IM21" s="72">
        <v>35.57</v>
      </c>
      <c r="IN21" s="72">
        <v>29.98</v>
      </c>
      <c r="IO21" s="192"/>
      <c r="IP21" s="193"/>
      <c r="IQ21" s="72">
        <v>35.840000000000003</v>
      </c>
      <c r="IR21" s="72">
        <v>30.9</v>
      </c>
      <c r="IS21" s="72">
        <v>35.840000000000003</v>
      </c>
      <c r="IT21" s="72">
        <v>30.9</v>
      </c>
      <c r="IU21" s="72">
        <v>35.840000000000003</v>
      </c>
      <c r="IV21" s="72">
        <v>30.9</v>
      </c>
      <c r="IW21" s="129"/>
      <c r="IX21" s="129"/>
      <c r="IY21" s="129"/>
      <c r="IZ21" s="129"/>
      <c r="JA21" s="129">
        <v>36.130000000000003</v>
      </c>
      <c r="JB21" s="129">
        <v>26.37</v>
      </c>
      <c r="JC21" s="129"/>
      <c r="JD21" s="129"/>
      <c r="JE21" s="129">
        <v>36.130000000000003</v>
      </c>
      <c r="JF21" s="129">
        <v>26.37</v>
      </c>
      <c r="JH21" s="129">
        <v>36.29</v>
      </c>
      <c r="JI21" s="129">
        <v>24.91</v>
      </c>
      <c r="JJ21" s="129">
        <v>36.29</v>
      </c>
      <c r="JK21" s="129">
        <v>24.91</v>
      </c>
      <c r="JL21" s="129">
        <v>36.29</v>
      </c>
      <c r="JM21" s="129">
        <v>24.91</v>
      </c>
      <c r="JN21" s="129">
        <v>36.29</v>
      </c>
      <c r="JO21" s="129">
        <v>24.91</v>
      </c>
      <c r="JP21" s="129">
        <v>36.44</v>
      </c>
      <c r="JQ21" s="129">
        <v>28.31</v>
      </c>
      <c r="JR21" s="186"/>
      <c r="JS21" s="187"/>
      <c r="JT21" s="129">
        <v>36.44</v>
      </c>
      <c r="JU21" s="129">
        <v>28.31</v>
      </c>
      <c r="JV21" s="129">
        <v>36.64</v>
      </c>
      <c r="JW21" s="129">
        <v>24.35</v>
      </c>
      <c r="JX21" s="129">
        <v>36.64</v>
      </c>
      <c r="JY21" s="129">
        <v>24.35</v>
      </c>
      <c r="JZ21" s="129">
        <v>36.64</v>
      </c>
      <c r="KA21" s="129">
        <v>24.35</v>
      </c>
      <c r="KB21" s="129">
        <v>36.64</v>
      </c>
      <c r="KC21" s="129">
        <v>24.35</v>
      </c>
      <c r="KD21" s="129">
        <v>36.64</v>
      </c>
      <c r="KE21" s="129">
        <v>24.35</v>
      </c>
      <c r="KF21" s="186"/>
      <c r="KG21" s="187"/>
      <c r="KH21" s="129">
        <v>36.64</v>
      </c>
      <c r="KI21" s="129">
        <v>24.35</v>
      </c>
      <c r="KJ21" s="129">
        <v>36.64</v>
      </c>
      <c r="KK21" s="129">
        <v>24.35</v>
      </c>
      <c r="KL21" s="129">
        <v>37.06</v>
      </c>
      <c r="KM21" s="129">
        <v>27.5</v>
      </c>
    </row>
    <row r="22" spans="1:299" x14ac:dyDescent="0.3">
      <c r="A22" s="24">
        <v>18</v>
      </c>
      <c r="B22" s="25" t="s">
        <v>26</v>
      </c>
      <c r="C22" s="26" t="s">
        <v>47</v>
      </c>
      <c r="D22" s="213"/>
      <c r="E22" s="27"/>
      <c r="F22" s="216"/>
      <c r="G22" s="27"/>
      <c r="H22" s="53"/>
      <c r="I22" s="61"/>
      <c r="J22" s="27"/>
      <c r="K22" s="62"/>
      <c r="L22" s="56"/>
      <c r="M22" s="27"/>
      <c r="N22" s="62"/>
      <c r="O22" s="61"/>
      <c r="P22" s="27"/>
      <c r="Q22" s="62"/>
      <c r="R22" s="56"/>
      <c r="S22" s="27"/>
      <c r="T22" s="62"/>
      <c r="U22" s="203"/>
      <c r="V22" s="61"/>
      <c r="W22" s="27"/>
      <c r="X22" s="62"/>
      <c r="Y22" s="61"/>
      <c r="Z22" s="56"/>
      <c r="AA22" s="80"/>
      <c r="AB22" s="61"/>
      <c r="AC22" s="56"/>
      <c r="AD22" s="80"/>
      <c r="AE22" s="56"/>
      <c r="AF22" s="56"/>
      <c r="AG22" s="56"/>
      <c r="AH22" s="27"/>
      <c r="AI22" s="27"/>
      <c r="AJ22" s="27"/>
      <c r="AK22" s="27"/>
      <c r="AL22" s="27"/>
      <c r="AM22" s="27"/>
      <c r="AN22" s="186"/>
      <c r="AO22" s="223"/>
      <c r="AP22" s="187"/>
      <c r="AQ22" s="27"/>
      <c r="AR22" s="27"/>
      <c r="AS22" s="27"/>
      <c r="AT22" s="27"/>
      <c r="AU22" s="27"/>
      <c r="AV22" s="27"/>
      <c r="AW22" s="192"/>
      <c r="AX22" s="193"/>
      <c r="AY22" s="196"/>
      <c r="AZ22" s="192"/>
      <c r="BA22" s="193"/>
      <c r="BB22" s="196"/>
      <c r="BC22" s="27"/>
      <c r="BD22" s="27"/>
      <c r="BE22" s="27"/>
      <c r="BF22" s="27"/>
      <c r="BG22" s="27"/>
      <c r="BH22" s="27"/>
      <c r="BI22" s="228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C22" s="53"/>
      <c r="CD22" s="53"/>
      <c r="CE22" s="61"/>
      <c r="CF22" s="27"/>
      <c r="CG22" s="56"/>
      <c r="CH22" s="27"/>
      <c r="CI22" s="61"/>
      <c r="CJ22" s="27"/>
      <c r="CK22" s="27"/>
      <c r="CL22" s="62"/>
      <c r="CM22" s="61"/>
      <c r="CN22" s="62"/>
      <c r="CO22" s="232"/>
      <c r="CP22" s="233"/>
      <c r="CQ22" s="61"/>
      <c r="CR22" s="56"/>
      <c r="CS22" s="56"/>
      <c r="CT22" s="56"/>
      <c r="CU22" s="27"/>
      <c r="CV22" s="27"/>
      <c r="CW22" s="27"/>
      <c r="CX22" s="27"/>
      <c r="CY22" s="27"/>
      <c r="CZ22" s="27"/>
      <c r="DA22" s="192"/>
      <c r="DB22" s="193"/>
      <c r="DC22" s="192"/>
      <c r="DD22" s="193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130"/>
      <c r="DP22" s="130"/>
      <c r="DQ22" s="192"/>
      <c r="DR22" s="193"/>
      <c r="DS22" s="27"/>
      <c r="DT22" s="27"/>
      <c r="DU22" s="27"/>
      <c r="DV22" s="27"/>
      <c r="DW22" s="192"/>
      <c r="DX22" s="193"/>
      <c r="DY22" s="27"/>
      <c r="DZ22" s="27"/>
      <c r="EA22" s="27"/>
      <c r="EB22" s="27"/>
      <c r="EC22" s="27"/>
      <c r="ED22" s="27"/>
      <c r="EE22" s="192"/>
      <c r="EF22" s="193"/>
      <c r="EG22" s="27"/>
      <c r="EH22" s="27"/>
      <c r="EI22" s="27"/>
      <c r="EJ22" s="27"/>
      <c r="EL22" s="53"/>
      <c r="EM22" s="53"/>
      <c r="EN22" s="192"/>
      <c r="EO22" s="193"/>
      <c r="EP22" s="56"/>
      <c r="EQ22" s="27"/>
      <c r="ER22" s="61"/>
      <c r="ES22" s="27"/>
      <c r="ET22" s="192"/>
      <c r="EU22" s="193"/>
      <c r="EV22" s="61"/>
      <c r="EW22" s="27"/>
      <c r="EX22" s="61"/>
      <c r="EY22" s="27"/>
      <c r="EZ22" s="61"/>
      <c r="FA22" s="27"/>
      <c r="FB22" s="61"/>
      <c r="FC22" s="27"/>
      <c r="FD22" s="27"/>
      <c r="FE22" s="27"/>
      <c r="FF22" s="27"/>
      <c r="FG22" s="27"/>
      <c r="FH22" s="192"/>
      <c r="FI22" s="193"/>
      <c r="FJ22" s="27"/>
      <c r="FK22" s="27"/>
      <c r="FL22" s="27"/>
      <c r="FM22" s="27"/>
      <c r="FN22" s="27"/>
      <c r="FO22" s="27"/>
      <c r="FP22" s="27"/>
      <c r="FQ22" s="27"/>
      <c r="FR22" s="27"/>
      <c r="FS22" s="27"/>
      <c r="FT22" s="192"/>
      <c r="FU22" s="193"/>
      <c r="FV22" s="192"/>
      <c r="FW22" s="193"/>
      <c r="FX22" s="27"/>
      <c r="FY22" s="27"/>
      <c r="FZ22" s="27"/>
      <c r="GA22" s="27"/>
      <c r="GB22" s="27"/>
      <c r="GC22" s="27"/>
      <c r="GD22" s="27"/>
      <c r="GE22" s="27"/>
      <c r="GF22" s="27"/>
      <c r="GG22" s="27"/>
      <c r="GH22" s="27"/>
      <c r="GI22" s="27"/>
      <c r="GJ22" s="192"/>
      <c r="GK22" s="193"/>
      <c r="GL22" s="27"/>
      <c r="GM22" s="27"/>
      <c r="GN22" s="27"/>
      <c r="GO22" s="27"/>
      <c r="GP22" s="27"/>
      <c r="GQ22" s="27"/>
      <c r="GR22" s="27"/>
      <c r="GS22" s="27"/>
      <c r="GT22" s="27"/>
      <c r="GU22" s="27"/>
      <c r="GW22" s="27"/>
      <c r="GX22" s="27"/>
      <c r="GY22" s="192"/>
      <c r="GZ22" s="193"/>
      <c r="HA22" s="192"/>
      <c r="HB22" s="193"/>
      <c r="HC22" s="61"/>
      <c r="HD22" s="27"/>
      <c r="HE22" s="61"/>
      <c r="HF22" s="27"/>
      <c r="HG22" s="192"/>
      <c r="HH22" s="193"/>
      <c r="HI22" s="192"/>
      <c r="HJ22" s="193"/>
      <c r="HK22" s="61"/>
      <c r="HL22" s="27"/>
      <c r="HM22" s="192"/>
      <c r="HN22" s="193"/>
      <c r="HO22" s="27"/>
      <c r="HP22" s="27"/>
      <c r="HQ22" s="27"/>
      <c r="HR22" s="27"/>
      <c r="HS22" s="27"/>
      <c r="HT22" s="27"/>
      <c r="HU22" s="27"/>
      <c r="HV22" s="27"/>
      <c r="HW22" s="27"/>
      <c r="HX22" s="27"/>
      <c r="HY22" s="27"/>
      <c r="HZ22" s="27"/>
      <c r="IA22" s="27"/>
      <c r="IB22" s="27"/>
      <c r="IC22" s="27"/>
      <c r="ID22" s="27"/>
      <c r="IE22" s="27"/>
      <c r="IF22" s="27"/>
      <c r="IG22" s="27"/>
      <c r="IH22" s="27"/>
      <c r="II22" s="27"/>
      <c r="IJ22" s="27"/>
      <c r="IK22" s="192"/>
      <c r="IL22" s="193"/>
      <c r="IM22" s="27"/>
      <c r="IN22" s="27"/>
      <c r="IO22" s="192"/>
      <c r="IP22" s="193"/>
      <c r="IQ22" s="27"/>
      <c r="IR22" s="27"/>
      <c r="IS22" s="27"/>
      <c r="IT22" s="27"/>
      <c r="IU22" s="27"/>
      <c r="IV22" s="27"/>
      <c r="IW22" s="27"/>
      <c r="IX22" s="27"/>
      <c r="IY22" s="27"/>
      <c r="IZ22" s="27"/>
      <c r="JA22" s="27"/>
      <c r="JB22" s="27"/>
      <c r="JC22" s="27"/>
      <c r="JD22" s="27"/>
      <c r="JE22" s="27"/>
      <c r="JF22" s="27"/>
      <c r="JH22" s="27"/>
      <c r="JI22" s="27"/>
      <c r="JJ22" s="27"/>
      <c r="JK22" s="27"/>
      <c r="JL22" s="27"/>
      <c r="JM22" s="27"/>
      <c r="JN22" s="27"/>
      <c r="JO22" s="27"/>
      <c r="JP22" s="27"/>
      <c r="JQ22" s="27"/>
      <c r="JR22" s="186"/>
      <c r="JS22" s="187"/>
      <c r="JT22" s="27"/>
      <c r="JU22" s="27"/>
      <c r="JV22" s="27"/>
      <c r="JW22" s="27"/>
      <c r="JX22" s="27"/>
      <c r="JY22" s="27"/>
      <c r="JZ22" s="27"/>
      <c r="KA22" s="27"/>
      <c r="KB22" s="27"/>
      <c r="KC22" s="27"/>
      <c r="KD22" s="27"/>
      <c r="KE22" s="27"/>
      <c r="KF22" s="186"/>
      <c r="KG22" s="187"/>
      <c r="KH22" s="27"/>
      <c r="KI22" s="27"/>
      <c r="KJ22" s="27"/>
      <c r="KK22" s="27"/>
      <c r="KL22" s="27"/>
      <c r="KM22" s="27"/>
    </row>
    <row r="23" spans="1:299" x14ac:dyDescent="0.3">
      <c r="A23" s="24">
        <v>19</v>
      </c>
      <c r="B23" s="25" t="s">
        <v>27</v>
      </c>
      <c r="C23" s="26" t="s">
        <v>47</v>
      </c>
      <c r="D23" s="213"/>
      <c r="E23" s="27"/>
      <c r="F23" s="216"/>
      <c r="G23" s="27"/>
      <c r="H23" s="53"/>
      <c r="I23" s="61"/>
      <c r="J23" s="27"/>
      <c r="K23" s="62"/>
      <c r="L23" s="56"/>
      <c r="M23" s="27"/>
      <c r="N23" s="62"/>
      <c r="O23" s="61"/>
      <c r="P23" s="27"/>
      <c r="Q23" s="62"/>
      <c r="R23" s="56"/>
      <c r="S23" s="27"/>
      <c r="T23" s="62"/>
      <c r="U23" s="203"/>
      <c r="V23" s="61"/>
      <c r="W23" s="27"/>
      <c r="X23" s="62"/>
      <c r="Y23" s="61"/>
      <c r="Z23" s="56"/>
      <c r="AA23" s="80"/>
      <c r="AB23" s="61"/>
      <c r="AC23" s="56"/>
      <c r="AD23" s="80"/>
      <c r="AE23" s="56"/>
      <c r="AF23" s="56"/>
      <c r="AG23" s="56"/>
      <c r="AH23" s="27"/>
      <c r="AI23" s="27"/>
      <c r="AJ23" s="27"/>
      <c r="AK23" s="27"/>
      <c r="AL23" s="27"/>
      <c r="AM23" s="27"/>
      <c r="AN23" s="186"/>
      <c r="AO23" s="223"/>
      <c r="AP23" s="187"/>
      <c r="AQ23" s="27"/>
      <c r="AR23" s="27"/>
      <c r="AS23" s="27"/>
      <c r="AT23" s="27"/>
      <c r="AU23" s="27"/>
      <c r="AV23" s="27"/>
      <c r="AW23" s="192"/>
      <c r="AX23" s="193"/>
      <c r="AY23" s="196"/>
      <c r="AZ23" s="192"/>
      <c r="BA23" s="193"/>
      <c r="BB23" s="196"/>
      <c r="BC23" s="27"/>
      <c r="BD23" s="27"/>
      <c r="BE23" s="27"/>
      <c r="BF23" s="27"/>
      <c r="BG23" s="27"/>
      <c r="BH23" s="27"/>
      <c r="BI23" s="228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C23" s="53"/>
      <c r="CD23" s="53"/>
      <c r="CE23" s="61"/>
      <c r="CF23" s="27"/>
      <c r="CG23" s="56"/>
      <c r="CH23" s="27"/>
      <c r="CI23" s="61"/>
      <c r="CJ23" s="27"/>
      <c r="CK23" s="27"/>
      <c r="CL23" s="62"/>
      <c r="CM23" s="61"/>
      <c r="CN23" s="62"/>
      <c r="CO23" s="232"/>
      <c r="CP23" s="233"/>
      <c r="CQ23" s="61"/>
      <c r="CR23" s="56"/>
      <c r="CS23" s="56"/>
      <c r="CT23" s="56"/>
      <c r="CU23" s="27"/>
      <c r="CV23" s="27"/>
      <c r="CW23" s="27"/>
      <c r="CX23" s="27"/>
      <c r="CY23" s="27"/>
      <c r="CZ23" s="27"/>
      <c r="DA23" s="192"/>
      <c r="DB23" s="193"/>
      <c r="DC23" s="192"/>
      <c r="DD23" s="193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130"/>
      <c r="DP23" s="130"/>
      <c r="DQ23" s="192"/>
      <c r="DR23" s="193"/>
      <c r="DS23" s="27"/>
      <c r="DT23" s="27"/>
      <c r="DU23" s="27"/>
      <c r="DV23" s="27"/>
      <c r="DW23" s="192"/>
      <c r="DX23" s="193"/>
      <c r="DY23" s="27"/>
      <c r="DZ23" s="27"/>
      <c r="EA23" s="27"/>
      <c r="EB23" s="27"/>
      <c r="EC23" s="27"/>
      <c r="ED23" s="27"/>
      <c r="EE23" s="192"/>
      <c r="EF23" s="193"/>
      <c r="EG23" s="27"/>
      <c r="EH23" s="27"/>
      <c r="EI23" s="27"/>
      <c r="EJ23" s="27"/>
      <c r="EL23" s="53"/>
      <c r="EM23" s="53"/>
      <c r="EN23" s="192"/>
      <c r="EO23" s="193"/>
      <c r="EP23" s="56"/>
      <c r="EQ23" s="27"/>
      <c r="ER23" s="61"/>
      <c r="ES23" s="27"/>
      <c r="ET23" s="192"/>
      <c r="EU23" s="193"/>
      <c r="EV23" s="61"/>
      <c r="EW23" s="27"/>
      <c r="EX23" s="61"/>
      <c r="EY23" s="27"/>
      <c r="EZ23" s="61"/>
      <c r="FA23" s="27"/>
      <c r="FB23" s="61"/>
      <c r="FC23" s="27"/>
      <c r="FD23" s="27"/>
      <c r="FE23" s="27"/>
      <c r="FF23" s="27"/>
      <c r="FG23" s="27"/>
      <c r="FH23" s="192"/>
      <c r="FI23" s="193"/>
      <c r="FJ23" s="27"/>
      <c r="FK23" s="27"/>
      <c r="FL23" s="27"/>
      <c r="FM23" s="27"/>
      <c r="FN23" s="27"/>
      <c r="FO23" s="27"/>
      <c r="FP23" s="27"/>
      <c r="FQ23" s="27"/>
      <c r="FR23" s="27"/>
      <c r="FS23" s="27"/>
      <c r="FT23" s="192"/>
      <c r="FU23" s="193"/>
      <c r="FV23" s="192"/>
      <c r="FW23" s="193"/>
      <c r="FX23" s="27"/>
      <c r="FY23" s="27"/>
      <c r="FZ23" s="27"/>
      <c r="GA23" s="27"/>
      <c r="GB23" s="27"/>
      <c r="GC23" s="27"/>
      <c r="GD23" s="27"/>
      <c r="GE23" s="27"/>
      <c r="GF23" s="27"/>
      <c r="GG23" s="27"/>
      <c r="GH23" s="27"/>
      <c r="GI23" s="27"/>
      <c r="GJ23" s="192"/>
      <c r="GK23" s="193"/>
      <c r="GL23" s="27"/>
      <c r="GM23" s="27"/>
      <c r="GN23" s="27"/>
      <c r="GO23" s="27"/>
      <c r="GP23" s="27"/>
      <c r="GQ23" s="27"/>
      <c r="GR23" s="27"/>
      <c r="GS23" s="27"/>
      <c r="GT23" s="27"/>
      <c r="GU23" s="27"/>
      <c r="GW23" s="27"/>
      <c r="GX23" s="27"/>
      <c r="GY23" s="192"/>
      <c r="GZ23" s="193"/>
      <c r="HA23" s="192"/>
      <c r="HB23" s="193"/>
      <c r="HC23" s="61"/>
      <c r="HD23" s="27"/>
      <c r="HE23" s="61"/>
      <c r="HF23" s="27"/>
      <c r="HG23" s="192"/>
      <c r="HH23" s="193"/>
      <c r="HI23" s="192"/>
      <c r="HJ23" s="193"/>
      <c r="HK23" s="61"/>
      <c r="HL23" s="27"/>
      <c r="HM23" s="192"/>
      <c r="HN23" s="193"/>
      <c r="HO23" s="27"/>
      <c r="HP23" s="27"/>
      <c r="HQ23" s="27"/>
      <c r="HR23" s="27"/>
      <c r="HS23" s="27"/>
      <c r="HT23" s="27"/>
      <c r="HU23" s="27"/>
      <c r="HV23" s="27"/>
      <c r="HW23" s="27"/>
      <c r="HX23" s="27"/>
      <c r="HY23" s="27"/>
      <c r="HZ23" s="27"/>
      <c r="IA23" s="27"/>
      <c r="IB23" s="27"/>
      <c r="IC23" s="27"/>
      <c r="ID23" s="27"/>
      <c r="IE23" s="27"/>
      <c r="IF23" s="27"/>
      <c r="IG23" s="27"/>
      <c r="IH23" s="27"/>
      <c r="II23" s="27"/>
      <c r="IJ23" s="27"/>
      <c r="IK23" s="192"/>
      <c r="IL23" s="193"/>
      <c r="IM23" s="27"/>
      <c r="IN23" s="27"/>
      <c r="IO23" s="192"/>
      <c r="IP23" s="193"/>
      <c r="IQ23" s="27"/>
      <c r="IR23" s="27"/>
      <c r="IS23" s="27"/>
      <c r="IT23" s="27"/>
      <c r="IU23" s="27"/>
      <c r="IV23" s="27"/>
      <c r="IW23" s="27"/>
      <c r="IX23" s="27"/>
      <c r="IY23" s="27"/>
      <c r="IZ23" s="27"/>
      <c r="JA23" s="27"/>
      <c r="JB23" s="27"/>
      <c r="JC23" s="27"/>
      <c r="JD23" s="27"/>
      <c r="JE23" s="27"/>
      <c r="JF23" s="27"/>
      <c r="JH23" s="27"/>
      <c r="JI23" s="27"/>
      <c r="JJ23" s="27"/>
      <c r="JK23" s="27"/>
      <c r="JL23" s="27"/>
      <c r="JM23" s="27"/>
      <c r="JN23" s="27"/>
      <c r="JO23" s="27"/>
      <c r="JP23" s="27"/>
      <c r="JQ23" s="27"/>
      <c r="JR23" s="186"/>
      <c r="JS23" s="187"/>
      <c r="JT23" s="27"/>
      <c r="JU23" s="27"/>
      <c r="JV23" s="27"/>
      <c r="JW23" s="27"/>
      <c r="JX23" s="27"/>
      <c r="JY23" s="27"/>
      <c r="JZ23" s="27"/>
      <c r="KA23" s="27"/>
      <c r="KB23" s="27"/>
      <c r="KC23" s="27"/>
      <c r="KD23" s="27"/>
      <c r="KE23" s="27"/>
      <c r="KF23" s="186"/>
      <c r="KG23" s="187"/>
      <c r="KH23" s="27"/>
      <c r="KI23" s="27"/>
      <c r="KJ23" s="27"/>
      <c r="KK23" s="27"/>
      <c r="KL23" s="27"/>
      <c r="KM23" s="27"/>
    </row>
    <row r="24" spans="1:299" x14ac:dyDescent="0.3">
      <c r="A24" s="24">
        <v>20</v>
      </c>
      <c r="B24" s="25" t="s">
        <v>28</v>
      </c>
      <c r="C24" s="26" t="s">
        <v>47</v>
      </c>
      <c r="D24" s="213"/>
      <c r="E24" s="27"/>
      <c r="F24" s="216"/>
      <c r="G24" s="27"/>
      <c r="H24" s="53"/>
      <c r="I24" s="61"/>
      <c r="J24" s="27"/>
      <c r="K24" s="62"/>
      <c r="L24" s="56"/>
      <c r="M24" s="27"/>
      <c r="N24" s="62"/>
      <c r="O24" s="61"/>
      <c r="P24" s="27"/>
      <c r="Q24" s="62"/>
      <c r="R24" s="56"/>
      <c r="S24" s="27"/>
      <c r="T24" s="62"/>
      <c r="U24" s="203"/>
      <c r="V24" s="61"/>
      <c r="W24" s="27"/>
      <c r="X24" s="62"/>
      <c r="Y24" s="61"/>
      <c r="Z24" s="56"/>
      <c r="AA24" s="80"/>
      <c r="AB24" s="61"/>
      <c r="AC24" s="56"/>
      <c r="AD24" s="80"/>
      <c r="AE24" s="56"/>
      <c r="AF24" s="56"/>
      <c r="AG24" s="56"/>
      <c r="AH24" s="27"/>
      <c r="AI24" s="27"/>
      <c r="AJ24" s="27"/>
      <c r="AK24" s="27"/>
      <c r="AL24" s="27"/>
      <c r="AM24" s="27"/>
      <c r="AN24" s="186"/>
      <c r="AO24" s="223"/>
      <c r="AP24" s="187"/>
      <c r="AQ24" s="27"/>
      <c r="AR24" s="27"/>
      <c r="AS24" s="27"/>
      <c r="AT24" s="27"/>
      <c r="AU24" s="27"/>
      <c r="AV24" s="27"/>
      <c r="AW24" s="192"/>
      <c r="AX24" s="193"/>
      <c r="AY24" s="196"/>
      <c r="AZ24" s="192"/>
      <c r="BA24" s="193"/>
      <c r="BB24" s="196"/>
      <c r="BC24" s="27"/>
      <c r="BD24" s="27"/>
      <c r="BE24" s="27"/>
      <c r="BF24" s="27"/>
      <c r="BG24" s="27"/>
      <c r="BH24" s="27"/>
      <c r="BI24" s="228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C24" s="53"/>
      <c r="CD24" s="53"/>
      <c r="CE24" s="61"/>
      <c r="CF24" s="27"/>
      <c r="CG24" s="56"/>
      <c r="CH24" s="27"/>
      <c r="CI24" s="61"/>
      <c r="CJ24" s="27"/>
      <c r="CK24" s="27"/>
      <c r="CL24" s="62"/>
      <c r="CM24" s="61"/>
      <c r="CN24" s="62"/>
      <c r="CO24" s="232"/>
      <c r="CP24" s="233"/>
      <c r="CQ24" s="61"/>
      <c r="CR24" s="56"/>
      <c r="CS24" s="56"/>
      <c r="CT24" s="56"/>
      <c r="CU24" s="27"/>
      <c r="CV24" s="27"/>
      <c r="CW24" s="27"/>
      <c r="CX24" s="27"/>
      <c r="CY24" s="27"/>
      <c r="CZ24" s="27"/>
      <c r="DA24" s="192"/>
      <c r="DB24" s="193"/>
      <c r="DC24" s="192"/>
      <c r="DD24" s="193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130"/>
      <c r="DP24" s="130"/>
      <c r="DQ24" s="192"/>
      <c r="DR24" s="193"/>
      <c r="DS24" s="27"/>
      <c r="DT24" s="27"/>
      <c r="DU24" s="27"/>
      <c r="DV24" s="27"/>
      <c r="DW24" s="192"/>
      <c r="DX24" s="193"/>
      <c r="DY24" s="27"/>
      <c r="DZ24" s="27"/>
      <c r="EA24" s="27"/>
      <c r="EB24" s="27"/>
      <c r="EC24" s="27"/>
      <c r="ED24" s="27"/>
      <c r="EE24" s="192"/>
      <c r="EF24" s="193"/>
      <c r="EG24" s="27"/>
      <c r="EH24" s="27"/>
      <c r="EI24" s="27"/>
      <c r="EJ24" s="27"/>
      <c r="EL24" s="53"/>
      <c r="EM24" s="53"/>
      <c r="EN24" s="192"/>
      <c r="EO24" s="193"/>
      <c r="EP24" s="56"/>
      <c r="EQ24" s="27"/>
      <c r="ER24" s="61"/>
      <c r="ES24" s="27"/>
      <c r="ET24" s="192"/>
      <c r="EU24" s="193"/>
      <c r="EV24" s="61"/>
      <c r="EW24" s="27"/>
      <c r="EX24" s="61"/>
      <c r="EY24" s="27"/>
      <c r="EZ24" s="61"/>
      <c r="FA24" s="27"/>
      <c r="FB24" s="61"/>
      <c r="FC24" s="27"/>
      <c r="FD24" s="27"/>
      <c r="FE24" s="27"/>
      <c r="FF24" s="27"/>
      <c r="FG24" s="27"/>
      <c r="FH24" s="192"/>
      <c r="FI24" s="193"/>
      <c r="FJ24" s="27"/>
      <c r="FK24" s="27"/>
      <c r="FL24" s="27"/>
      <c r="FM24" s="27"/>
      <c r="FN24" s="27"/>
      <c r="FO24" s="27"/>
      <c r="FP24" s="27"/>
      <c r="FQ24" s="27"/>
      <c r="FR24" s="27"/>
      <c r="FS24" s="27"/>
      <c r="FT24" s="192"/>
      <c r="FU24" s="193"/>
      <c r="FV24" s="192"/>
      <c r="FW24" s="193"/>
      <c r="FX24" s="27"/>
      <c r="FY24" s="27"/>
      <c r="FZ24" s="27"/>
      <c r="GA24" s="27"/>
      <c r="GB24" s="27"/>
      <c r="GC24" s="27"/>
      <c r="GD24" s="27"/>
      <c r="GE24" s="27"/>
      <c r="GF24" s="27"/>
      <c r="GG24" s="27"/>
      <c r="GH24" s="27"/>
      <c r="GI24" s="27"/>
      <c r="GJ24" s="192"/>
      <c r="GK24" s="193"/>
      <c r="GL24" s="27"/>
      <c r="GM24" s="27"/>
      <c r="GN24" s="27"/>
      <c r="GO24" s="27"/>
      <c r="GP24" s="27"/>
      <c r="GQ24" s="27"/>
      <c r="GR24" s="27"/>
      <c r="GS24" s="27"/>
      <c r="GT24" s="27"/>
      <c r="GU24" s="27"/>
      <c r="GW24" s="27"/>
      <c r="GX24" s="27"/>
      <c r="GY24" s="192"/>
      <c r="GZ24" s="193"/>
      <c r="HA24" s="192"/>
      <c r="HB24" s="193"/>
      <c r="HC24" s="61"/>
      <c r="HD24" s="27"/>
      <c r="HE24" s="61"/>
      <c r="HF24" s="27"/>
      <c r="HG24" s="192"/>
      <c r="HH24" s="193"/>
      <c r="HI24" s="192"/>
      <c r="HJ24" s="193"/>
      <c r="HK24" s="61"/>
      <c r="HL24" s="27"/>
      <c r="HM24" s="192"/>
      <c r="HN24" s="193"/>
      <c r="HO24" s="27"/>
      <c r="HP24" s="27"/>
      <c r="HQ24" s="27"/>
      <c r="HR24" s="27"/>
      <c r="HS24" s="27"/>
      <c r="HT24" s="27"/>
      <c r="HU24" s="27"/>
      <c r="HV24" s="27"/>
      <c r="HW24" s="27"/>
      <c r="HX24" s="27"/>
      <c r="HY24" s="27"/>
      <c r="HZ24" s="27"/>
      <c r="IA24" s="27"/>
      <c r="IB24" s="27"/>
      <c r="IC24" s="27"/>
      <c r="ID24" s="27"/>
      <c r="IE24" s="27"/>
      <c r="IF24" s="27"/>
      <c r="IG24" s="27"/>
      <c r="IH24" s="27"/>
      <c r="II24" s="27"/>
      <c r="IJ24" s="27"/>
      <c r="IK24" s="192"/>
      <c r="IL24" s="193"/>
      <c r="IM24" s="27"/>
      <c r="IN24" s="27"/>
      <c r="IO24" s="192"/>
      <c r="IP24" s="193"/>
      <c r="IQ24" s="27"/>
      <c r="IR24" s="27"/>
      <c r="IS24" s="27"/>
      <c r="IT24" s="27"/>
      <c r="IU24" s="27"/>
      <c r="IV24" s="27"/>
      <c r="IW24" s="27"/>
      <c r="IX24" s="27"/>
      <c r="IY24" s="27"/>
      <c r="IZ24" s="27"/>
      <c r="JA24" s="27"/>
      <c r="JB24" s="27"/>
      <c r="JC24" s="27"/>
      <c r="JD24" s="27"/>
      <c r="JE24" s="27"/>
      <c r="JF24" s="27"/>
      <c r="JH24" s="27"/>
      <c r="JI24" s="27"/>
      <c r="JJ24" s="27"/>
      <c r="JK24" s="27"/>
      <c r="JL24" s="27"/>
      <c r="JM24" s="27"/>
      <c r="JN24" s="27"/>
      <c r="JO24" s="27"/>
      <c r="JP24" s="27"/>
      <c r="JQ24" s="27"/>
      <c r="JR24" s="186"/>
      <c r="JS24" s="187"/>
      <c r="JT24" s="27"/>
      <c r="JU24" s="27"/>
      <c r="JV24" s="27"/>
      <c r="JW24" s="27"/>
      <c r="JX24" s="27"/>
      <c r="JY24" s="27"/>
      <c r="JZ24" s="27"/>
      <c r="KA24" s="27"/>
      <c r="KB24" s="27"/>
      <c r="KC24" s="27"/>
      <c r="KD24" s="27"/>
      <c r="KE24" s="27"/>
      <c r="KF24" s="186"/>
      <c r="KG24" s="187"/>
      <c r="KH24" s="27"/>
      <c r="KI24" s="27"/>
      <c r="KJ24" s="27"/>
      <c r="KK24" s="27"/>
      <c r="KL24" s="27"/>
      <c r="KM24" s="27"/>
    </row>
    <row r="25" spans="1:299" x14ac:dyDescent="0.3">
      <c r="A25" s="5">
        <v>21</v>
      </c>
      <c r="B25" s="4" t="s">
        <v>29</v>
      </c>
      <c r="C25" s="6" t="s">
        <v>53</v>
      </c>
      <c r="D25" s="213"/>
      <c r="E25" s="14">
        <v>302026.36</v>
      </c>
      <c r="F25" s="216"/>
      <c r="G25" s="14">
        <f>231167.12+71218.18</f>
        <v>302385.3</v>
      </c>
      <c r="H25" s="72">
        <f>231280.12+71218.18</f>
        <v>302498.3</v>
      </c>
      <c r="I25" s="45">
        <f>231460.12+73986.12</f>
        <v>305446.24</v>
      </c>
      <c r="J25" s="22">
        <v>0.56510000000000005</v>
      </c>
      <c r="K25" s="60">
        <v>0.36130000000000001</v>
      </c>
      <c r="L25" s="55">
        <f>231829.12+73986.12</f>
        <v>305815.24</v>
      </c>
      <c r="M25" s="22">
        <v>0.56599999999999995</v>
      </c>
      <c r="N25" s="60">
        <v>0.36130000000000001</v>
      </c>
      <c r="O25" s="45">
        <f>177690.88+130176</f>
        <v>307866.88</v>
      </c>
      <c r="P25" s="22">
        <v>0.56620000000000004</v>
      </c>
      <c r="Q25" s="60">
        <v>0.36430000000000001</v>
      </c>
      <c r="R25" s="55">
        <f>232076.12+74607.87</f>
        <v>306683.99</v>
      </c>
      <c r="S25" s="22">
        <v>0.56659999999999999</v>
      </c>
      <c r="T25" s="60">
        <v>0.36430000000000001</v>
      </c>
      <c r="U25" s="203"/>
      <c r="V25" s="45">
        <f>232293+74640.93</f>
        <v>306933.93</v>
      </c>
      <c r="W25" s="22">
        <v>0.56740000000000002</v>
      </c>
      <c r="X25" s="60">
        <v>0.72889999999999999</v>
      </c>
      <c r="Y25" s="45">
        <f>232511.12+74642.8</f>
        <v>307153.91999999998</v>
      </c>
      <c r="Z25" s="77">
        <v>0.56769999999999998</v>
      </c>
      <c r="AA25" s="79">
        <v>0.36449999999999999</v>
      </c>
      <c r="AB25" s="45">
        <f>232820.12+74644.12</f>
        <v>307464.24</v>
      </c>
      <c r="AC25" s="77">
        <v>0.56840000000000002</v>
      </c>
      <c r="AD25" s="79">
        <v>0.36449999999999999</v>
      </c>
      <c r="AE25" s="55">
        <f>232964.12+74644.12</f>
        <v>307608.24</v>
      </c>
      <c r="AF25" s="77">
        <v>0.56879999999999997</v>
      </c>
      <c r="AG25" s="77">
        <v>0.36449999999999999</v>
      </c>
      <c r="AH25" s="14">
        <f>233242.12+74665.55</f>
        <v>307907.67</v>
      </c>
      <c r="AI25" s="22">
        <v>0.56950000000000001</v>
      </c>
      <c r="AJ25" s="22">
        <v>0.36459999999999998</v>
      </c>
      <c r="AK25" s="14">
        <f>233428.12+74666.12</f>
        <v>308094.24</v>
      </c>
      <c r="AL25" s="22">
        <v>0.56989999999999996</v>
      </c>
      <c r="AM25" s="22">
        <v>0.36459999999999998</v>
      </c>
      <c r="AN25" s="186"/>
      <c r="AO25" s="223"/>
      <c r="AP25" s="187"/>
      <c r="AQ25" s="14">
        <f>233649.12+76750.37</f>
        <v>310399.49</v>
      </c>
      <c r="AR25" s="22">
        <v>0.57050000000000001</v>
      </c>
      <c r="AS25" s="22">
        <v>0.37480000000000002</v>
      </c>
      <c r="AT25" s="14">
        <f>233759.12+76750.87</f>
        <v>310509.99</v>
      </c>
      <c r="AU25" s="22">
        <v>0.57069999999999999</v>
      </c>
      <c r="AV25" s="22">
        <v>0.37480000000000002</v>
      </c>
      <c r="AW25" s="192"/>
      <c r="AX25" s="193"/>
      <c r="AY25" s="196"/>
      <c r="AZ25" s="192"/>
      <c r="BA25" s="193"/>
      <c r="BB25" s="196"/>
      <c r="BC25" s="14">
        <f>234379.12+80184.05</f>
        <v>314563.17</v>
      </c>
      <c r="BD25" s="22">
        <v>0.57220000000000004</v>
      </c>
      <c r="BE25" s="22">
        <v>0.3916</v>
      </c>
      <c r="BF25" s="14">
        <f>234559.12+80184.3</f>
        <v>314743.42</v>
      </c>
      <c r="BG25" s="22">
        <v>0.57269999999999999</v>
      </c>
      <c r="BH25" s="22">
        <v>0.3916</v>
      </c>
      <c r="BI25" s="228"/>
      <c r="BJ25" s="14">
        <f>234671.12+80210.24</f>
        <v>314881.36</v>
      </c>
      <c r="BK25" s="22">
        <v>0.57299999999999995</v>
      </c>
      <c r="BL25" s="22">
        <v>0.39169999999999999</v>
      </c>
      <c r="BM25" s="14">
        <f>234833.12+80210.8</f>
        <v>315043.92</v>
      </c>
      <c r="BN25" s="22">
        <v>0.57330000000000003</v>
      </c>
      <c r="BO25" s="22">
        <v>0.39169999999999999</v>
      </c>
      <c r="BP25" s="14">
        <f>234946.12+80873.18</f>
        <v>315819.3</v>
      </c>
      <c r="BQ25" s="22">
        <v>0.5736</v>
      </c>
      <c r="BR25" s="22">
        <v>0.39489999999999997</v>
      </c>
      <c r="BS25" s="14">
        <f>235167.12+80873.18</f>
        <v>316040.3</v>
      </c>
      <c r="BT25" s="22">
        <v>0.57420000000000004</v>
      </c>
      <c r="BU25" s="22">
        <v>0.39489999999999997</v>
      </c>
      <c r="BV25" s="14">
        <f>235358.12+80873.43</f>
        <v>316231.55</v>
      </c>
      <c r="BW25" s="22">
        <v>0.5746</v>
      </c>
      <c r="BX25" s="22">
        <v>0.39489999999999997</v>
      </c>
      <c r="BY25" s="14">
        <f>235510.12+80901.93</f>
        <v>316412.05</v>
      </c>
      <c r="BZ25" s="22">
        <v>0.57499999999999996</v>
      </c>
      <c r="CA25" s="22">
        <v>0.39510000000000001</v>
      </c>
      <c r="CC25" s="72">
        <f>230.3/399.98*100</f>
        <v>57.5778788939447</v>
      </c>
      <c r="CD25" s="72">
        <f>79.01/199.98*100</f>
        <v>39.508950895089512</v>
      </c>
      <c r="CE25" s="72">
        <f>230.46/399.98*100</f>
        <v>57.617880894044703</v>
      </c>
      <c r="CF25" s="72">
        <f>79.01/199.98*100</f>
        <v>39.508950895089512</v>
      </c>
      <c r="CG25" s="72">
        <f>230.59/399.98*100</f>
        <v>57.650382519125955</v>
      </c>
      <c r="CH25" s="72">
        <f>79.01/199.98*100</f>
        <v>39.508950895089512</v>
      </c>
      <c r="CI25" s="72">
        <f>230.84/399.98*100</f>
        <v>57.71288564428221</v>
      </c>
      <c r="CJ25" s="72">
        <f>79.01/199.98*100</f>
        <v>39.508950895089512</v>
      </c>
      <c r="CK25" s="72">
        <f>230.97/399.98*100</f>
        <v>57.745387269363469</v>
      </c>
      <c r="CL25" s="72">
        <f>79.06/199.98*100</f>
        <v>39.533953395339537</v>
      </c>
      <c r="CM25" s="72">
        <f>231.16/399.98*100</f>
        <v>57.792889644482223</v>
      </c>
      <c r="CN25" s="72">
        <f>79.06/199.98*100</f>
        <v>39.533953395339537</v>
      </c>
      <c r="CO25" s="232"/>
      <c r="CP25" s="233"/>
      <c r="CQ25" s="72">
        <f>231.18/399.98*100</f>
        <v>57.797889894494723</v>
      </c>
      <c r="CR25" s="72">
        <f>79.06/199.98*100</f>
        <v>39.533953395339537</v>
      </c>
      <c r="CS25" s="72">
        <f>231.35/399.98*100</f>
        <v>57.840392019600969</v>
      </c>
      <c r="CT25" s="72">
        <f>79.06/199.98*100</f>
        <v>39.533953395339537</v>
      </c>
      <c r="CU25" s="72">
        <f>231.53/399.98*100</f>
        <v>57.885394269713487</v>
      </c>
      <c r="CV25" s="72">
        <f>81.29/199.98*100</f>
        <v>40.649064906490658</v>
      </c>
      <c r="CW25" s="72">
        <f>231.8/399.98*100</f>
        <v>57.952897644882242</v>
      </c>
      <c r="CX25" s="72">
        <f>81.33/199.98*100</f>
        <v>40.669066906690674</v>
      </c>
      <c r="CY25" s="72">
        <f>231.84/399.98*100</f>
        <v>57.96289814490725</v>
      </c>
      <c r="CZ25" s="72">
        <f>81.33/199.98*100</f>
        <v>40.669066906690674</v>
      </c>
      <c r="DA25" s="192"/>
      <c r="DB25" s="193"/>
      <c r="DC25" s="192"/>
      <c r="DD25" s="193"/>
      <c r="DE25" s="72">
        <f>232.28/399.98*100</f>
        <v>58.072903645182258</v>
      </c>
      <c r="DF25" s="72">
        <f>84.6/199.98*100</f>
        <v>42.304230423042306</v>
      </c>
      <c r="DG25" s="72">
        <f>232.43/399.98*100</f>
        <v>58.110405520276011</v>
      </c>
      <c r="DH25" s="72">
        <f>85.31/199.98*100</f>
        <v>42.65926592659266</v>
      </c>
      <c r="DI25" s="72">
        <f>232.61/399.98*100</f>
        <v>58.155407770388521</v>
      </c>
      <c r="DJ25" s="72">
        <f>85.31/199.98*100</f>
        <v>42.65926592659266</v>
      </c>
      <c r="DK25" s="72">
        <f>232.68/399.98*100</f>
        <v>58.172908645432273</v>
      </c>
      <c r="DL25" s="72">
        <f>85.36/199.98*100</f>
        <v>42.684268426842685</v>
      </c>
      <c r="DM25" s="72">
        <f>232.9/399.98*100</f>
        <v>58.227911395569777</v>
      </c>
      <c r="DN25" s="72">
        <f>85.37/199.98*100</f>
        <v>42.689268926892694</v>
      </c>
      <c r="DO25" s="129">
        <f>233.06/399.98*100</f>
        <v>58.26791339566978</v>
      </c>
      <c r="DP25" s="129">
        <f>85.75/199.98*100</f>
        <v>42.879287928792884</v>
      </c>
      <c r="DQ25" s="192"/>
      <c r="DR25" s="193"/>
      <c r="DS25" s="129">
        <f>233.19/399.98*100</f>
        <v>58.300415020751039</v>
      </c>
      <c r="DT25" s="129">
        <f>85.75/199.98*100</f>
        <v>42.879287928792884</v>
      </c>
      <c r="DU25" s="129">
        <f>233.19/399.99*100</f>
        <v>58.298957473936838</v>
      </c>
      <c r="DV25" s="129">
        <f>85.75/199.98*100</f>
        <v>42.879287928792884</v>
      </c>
      <c r="DW25" s="192"/>
      <c r="DX25" s="193"/>
      <c r="DY25" s="129">
        <f>233.66/399.99*100</f>
        <v>58.416460411510286</v>
      </c>
      <c r="DZ25" s="129">
        <f>85.75/199.98*100</f>
        <v>42.879287928792884</v>
      </c>
      <c r="EA25" s="129">
        <f>116.51/399.99*100</f>
        <v>29.128228205705142</v>
      </c>
      <c r="EB25" s="129">
        <f>120.41/199.98*100</f>
        <v>60.211021102110209</v>
      </c>
      <c r="EC25" s="129">
        <f>233.88/399.99*100</f>
        <v>58.471461786544666</v>
      </c>
      <c r="ED25" s="129">
        <f>85.79/199.98*100</f>
        <v>42.899289928992907</v>
      </c>
      <c r="EE25" s="192"/>
      <c r="EF25" s="193"/>
      <c r="EG25" s="14"/>
      <c r="EH25" s="22"/>
      <c r="EI25" s="129">
        <f>234.25/399.99*100</f>
        <v>58.563964099102471</v>
      </c>
      <c r="EJ25" s="129">
        <f>85.86/199.98*100</f>
        <v>42.934293429342937</v>
      </c>
      <c r="EL25" s="72"/>
      <c r="EM25" s="72"/>
      <c r="EN25" s="192"/>
      <c r="EO25" s="193"/>
      <c r="EP25" s="129">
        <f>234.59/399.99*100</f>
        <v>58.648966224155608</v>
      </c>
      <c r="EQ25" s="129">
        <f>85.86/199.98*100</f>
        <v>42.934293429342937</v>
      </c>
      <c r="ER25" s="129">
        <f>234.74/399.99*100</f>
        <v>58.686467161679047</v>
      </c>
      <c r="ES25" s="129">
        <f>85.86/199.98*100</f>
        <v>42.934293429342937</v>
      </c>
      <c r="ET25" s="192"/>
      <c r="EU25" s="193"/>
      <c r="EV25" s="129">
        <f>234.96/399.99*100</f>
        <v>58.741468536713413</v>
      </c>
      <c r="EW25" s="129">
        <f>88.36/199.98*100</f>
        <v>44.184418441844187</v>
      </c>
      <c r="EX25" s="129">
        <f>235.1/399.99*100</f>
        <v>58.776469411735292</v>
      </c>
      <c r="EY25" s="129">
        <f>88.38/199.98*100</f>
        <v>44.194419441944191</v>
      </c>
      <c r="EZ25" s="129">
        <f>235.26/399.99*100</f>
        <v>58.816470411760292</v>
      </c>
      <c r="FA25" s="129">
        <f>89.17/199.98*100</f>
        <v>44.589458945894592</v>
      </c>
      <c r="FB25" s="129">
        <v>58.86</v>
      </c>
      <c r="FC25" s="129">
        <v>44.59</v>
      </c>
      <c r="FD25" s="72">
        <v>58.89</v>
      </c>
      <c r="FE25" s="72">
        <v>44.59</v>
      </c>
      <c r="FF25" s="72">
        <v>58.92</v>
      </c>
      <c r="FG25" s="72">
        <v>46.39</v>
      </c>
      <c r="FH25" s="192"/>
      <c r="FI25" s="193"/>
      <c r="FJ25" s="72">
        <v>58.96</v>
      </c>
      <c r="FK25" s="72">
        <v>46.4</v>
      </c>
      <c r="FL25" s="72">
        <v>59</v>
      </c>
      <c r="FM25" s="72">
        <v>46.4</v>
      </c>
      <c r="FN25" s="72">
        <v>59.05</v>
      </c>
      <c r="FO25" s="72">
        <v>46.42</v>
      </c>
      <c r="FP25" s="72">
        <v>59.08</v>
      </c>
      <c r="FQ25" s="72">
        <v>46.42</v>
      </c>
      <c r="FR25" s="72">
        <v>59.11</v>
      </c>
      <c r="FS25" s="72">
        <v>46.45</v>
      </c>
      <c r="FT25" s="192"/>
      <c r="FU25" s="193"/>
      <c r="FV25" s="192"/>
      <c r="FW25" s="193"/>
      <c r="FX25" s="72">
        <v>59.11</v>
      </c>
      <c r="FY25" s="72">
        <v>46.65</v>
      </c>
      <c r="FZ25" s="72">
        <v>59.22</v>
      </c>
      <c r="GA25" s="72">
        <v>46.65</v>
      </c>
      <c r="GB25" s="72">
        <v>59.26</v>
      </c>
      <c r="GC25" s="72">
        <v>46.65</v>
      </c>
      <c r="GD25" s="72">
        <v>59.28</v>
      </c>
      <c r="GE25" s="72">
        <v>46.65</v>
      </c>
      <c r="GF25" s="72">
        <v>59.3</v>
      </c>
      <c r="GG25" s="72">
        <v>46.65</v>
      </c>
      <c r="GH25" s="129"/>
      <c r="GI25" s="129"/>
      <c r="GJ25" s="192"/>
      <c r="GK25" s="193"/>
      <c r="GL25" s="129">
        <v>59.41</v>
      </c>
      <c r="GM25" s="129">
        <v>46.69</v>
      </c>
      <c r="GN25" s="129">
        <v>59.44</v>
      </c>
      <c r="GO25" s="129">
        <v>46.69</v>
      </c>
      <c r="GP25" s="14">
        <v>59.47</v>
      </c>
      <c r="GQ25" s="14">
        <v>46.69</v>
      </c>
      <c r="GR25" s="14">
        <v>59.47</v>
      </c>
      <c r="GS25" s="14">
        <v>46.69</v>
      </c>
      <c r="GT25" s="14">
        <v>59.55</v>
      </c>
      <c r="GU25" s="14">
        <v>46.7</v>
      </c>
      <c r="GW25" s="14">
        <v>59.55</v>
      </c>
      <c r="GX25" s="14">
        <v>46.7</v>
      </c>
      <c r="GY25" s="192"/>
      <c r="GZ25" s="193"/>
      <c r="HA25" s="192"/>
      <c r="HB25" s="193"/>
      <c r="HC25" s="129">
        <v>59.64</v>
      </c>
      <c r="HD25" s="129">
        <v>47.13</v>
      </c>
      <c r="HE25" s="129"/>
      <c r="HF25" s="129"/>
      <c r="HG25" s="192"/>
      <c r="HH25" s="193"/>
      <c r="HI25" s="192"/>
      <c r="HJ25" s="193"/>
      <c r="HK25" s="129">
        <v>59.79</v>
      </c>
      <c r="HL25" s="129">
        <v>47.16</v>
      </c>
      <c r="HM25" s="192"/>
      <c r="HN25" s="193"/>
      <c r="HO25" s="72">
        <v>59.9</v>
      </c>
      <c r="HP25" s="72">
        <v>49.14</v>
      </c>
      <c r="HQ25" s="72">
        <v>59.9</v>
      </c>
      <c r="HR25" s="72">
        <v>49.14</v>
      </c>
      <c r="HS25" s="72">
        <v>59.94</v>
      </c>
      <c r="HT25" s="72">
        <v>49.14</v>
      </c>
      <c r="HU25" s="72">
        <v>59.99</v>
      </c>
      <c r="HV25" s="72">
        <v>49.14</v>
      </c>
      <c r="HW25" s="72">
        <v>59.99</v>
      </c>
      <c r="HX25" s="72">
        <v>49.14</v>
      </c>
      <c r="HY25" s="72">
        <v>60.1</v>
      </c>
      <c r="HZ25" s="72">
        <v>49.14</v>
      </c>
      <c r="IA25" s="72">
        <v>60.1</v>
      </c>
      <c r="IB25" s="72">
        <v>49.14</v>
      </c>
      <c r="IC25" s="72">
        <v>60.18</v>
      </c>
      <c r="ID25" s="72">
        <v>49.16</v>
      </c>
      <c r="IE25" s="72">
        <v>60.18</v>
      </c>
      <c r="IF25" s="72">
        <v>49.16</v>
      </c>
      <c r="IG25" s="72">
        <v>60.18</v>
      </c>
      <c r="IH25" s="72">
        <v>49.16</v>
      </c>
      <c r="II25" s="72">
        <v>60.19</v>
      </c>
      <c r="IJ25" s="72">
        <v>49.16</v>
      </c>
      <c r="IK25" s="192"/>
      <c r="IL25" s="193"/>
      <c r="IM25" s="72">
        <v>60.19</v>
      </c>
      <c r="IN25" s="72">
        <v>49.16</v>
      </c>
      <c r="IO25" s="192"/>
      <c r="IP25" s="193"/>
      <c r="IQ25" s="72">
        <v>60.36</v>
      </c>
      <c r="IR25" s="72">
        <v>49.51</v>
      </c>
      <c r="IS25" s="72">
        <v>60.36</v>
      </c>
      <c r="IT25" s="72">
        <v>49.51</v>
      </c>
      <c r="IU25" s="72">
        <v>60.36</v>
      </c>
      <c r="IV25" s="72">
        <v>49.51</v>
      </c>
      <c r="IW25" s="129"/>
      <c r="IX25" s="129"/>
      <c r="IY25" s="129"/>
      <c r="IZ25" s="129"/>
      <c r="JA25" s="129">
        <v>60.59</v>
      </c>
      <c r="JB25" s="129">
        <v>50.13</v>
      </c>
      <c r="JC25" s="129"/>
      <c r="JD25" s="129"/>
      <c r="JE25" s="129">
        <v>60.59</v>
      </c>
      <c r="JF25" s="129">
        <v>50.13</v>
      </c>
      <c r="JH25" s="129"/>
      <c r="JI25" s="129"/>
      <c r="JJ25" s="129"/>
      <c r="JK25" s="129"/>
      <c r="JL25" s="129"/>
      <c r="JM25" s="129"/>
      <c r="JN25" s="129"/>
      <c r="JO25" s="129"/>
      <c r="JP25" s="129">
        <v>60.82</v>
      </c>
      <c r="JQ25" s="129">
        <v>50.01</v>
      </c>
      <c r="JR25" s="186"/>
      <c r="JS25" s="187"/>
      <c r="JT25" s="129">
        <v>60.82</v>
      </c>
      <c r="JU25" s="129">
        <v>50.01</v>
      </c>
      <c r="JV25" s="129">
        <v>60.83</v>
      </c>
      <c r="JW25" s="129">
        <v>47.6</v>
      </c>
      <c r="JX25" s="129">
        <v>60.83</v>
      </c>
      <c r="JY25" s="129">
        <v>47.6</v>
      </c>
      <c r="JZ25" s="129">
        <v>60.83</v>
      </c>
      <c r="KA25" s="129">
        <v>47.6</v>
      </c>
      <c r="KB25" s="129">
        <v>60.83</v>
      </c>
      <c r="KC25" s="129">
        <v>47.6</v>
      </c>
      <c r="KD25" s="129">
        <v>60.83</v>
      </c>
      <c r="KE25" s="129">
        <v>47.6</v>
      </c>
      <c r="KF25" s="186"/>
      <c r="KG25" s="187"/>
      <c r="KH25" s="129">
        <v>60.83</v>
      </c>
      <c r="KI25" s="129">
        <v>47.6</v>
      </c>
      <c r="KJ25" s="129">
        <v>60.83</v>
      </c>
      <c r="KK25" s="129">
        <v>47.6</v>
      </c>
      <c r="KL25" s="129">
        <v>61.24</v>
      </c>
      <c r="KM25" s="129">
        <v>49.88</v>
      </c>
    </row>
    <row r="26" spans="1:299" x14ac:dyDescent="0.3">
      <c r="A26" s="5">
        <v>22</v>
      </c>
      <c r="B26" s="4" t="s">
        <v>30</v>
      </c>
      <c r="C26" s="6" t="s">
        <v>53</v>
      </c>
      <c r="D26" s="213"/>
      <c r="E26" s="14">
        <f>230825.12+71201.24</f>
        <v>302026.36</v>
      </c>
      <c r="F26" s="216"/>
      <c r="G26" s="14">
        <f>231167.12+71218.18</f>
        <v>302385.3</v>
      </c>
      <c r="H26" s="72">
        <f>231280.12+71218.18</f>
        <v>302498.3</v>
      </c>
      <c r="I26" s="45">
        <f>231460.12+73986.12</f>
        <v>305446.24</v>
      </c>
      <c r="J26" s="22">
        <v>0.56510000000000005</v>
      </c>
      <c r="K26" s="60">
        <v>0.36130000000000001</v>
      </c>
      <c r="L26" s="55">
        <f>231829.12+73986.12</f>
        <v>305815.24</v>
      </c>
      <c r="M26" s="22">
        <v>0.56599999999999995</v>
      </c>
      <c r="N26" s="60">
        <v>0.36130000000000001</v>
      </c>
      <c r="O26" s="45">
        <f>177690.88+130176</f>
        <v>307866.88</v>
      </c>
      <c r="P26" s="22">
        <v>0.56620000000000004</v>
      </c>
      <c r="Q26" s="60">
        <v>0.36430000000000001</v>
      </c>
      <c r="R26" s="55">
        <f>232076.12+74607.87</f>
        <v>306683.99</v>
      </c>
      <c r="S26" s="22">
        <v>0.56659999999999999</v>
      </c>
      <c r="T26" s="60">
        <v>0.36430000000000001</v>
      </c>
      <c r="U26" s="203"/>
      <c r="V26" s="45">
        <f>232293+74640.93</f>
        <v>306933.93</v>
      </c>
      <c r="W26" s="22">
        <v>0.56740000000000002</v>
      </c>
      <c r="X26" s="60">
        <v>0.72889999999999999</v>
      </c>
      <c r="Y26" s="45">
        <f>232511.12+74642.8</f>
        <v>307153.91999999998</v>
      </c>
      <c r="Z26" s="77">
        <v>0.56769999999999998</v>
      </c>
      <c r="AA26" s="79">
        <v>0.36449999999999999</v>
      </c>
      <c r="AB26" s="45">
        <f>232820.12+74644.12</f>
        <v>307464.24</v>
      </c>
      <c r="AC26" s="77">
        <v>0.56840000000000002</v>
      </c>
      <c r="AD26" s="79">
        <v>0.36449999999999999</v>
      </c>
      <c r="AE26" s="55">
        <f>232964.12+74644.12</f>
        <v>307608.24</v>
      </c>
      <c r="AF26" s="77">
        <v>0.56879999999999997</v>
      </c>
      <c r="AG26" s="77">
        <v>0.36449999999999999</v>
      </c>
      <c r="AH26" s="14">
        <f>233242.12+74665.55</f>
        <v>307907.67</v>
      </c>
      <c r="AI26" s="22">
        <v>0.56950000000000001</v>
      </c>
      <c r="AJ26" s="22">
        <v>0.36459999999999998</v>
      </c>
      <c r="AK26" s="14">
        <f>233428.12+74666.12</f>
        <v>308094.24</v>
      </c>
      <c r="AL26" s="22">
        <v>0.56989999999999996</v>
      </c>
      <c r="AM26" s="22">
        <v>0.36459999999999998</v>
      </c>
      <c r="AN26" s="186"/>
      <c r="AO26" s="223"/>
      <c r="AP26" s="187"/>
      <c r="AQ26" s="14">
        <f>233649.12+76750.37</f>
        <v>310399.49</v>
      </c>
      <c r="AR26" s="22">
        <v>0.57050000000000001</v>
      </c>
      <c r="AS26" s="22">
        <v>0.37480000000000002</v>
      </c>
      <c r="AT26" s="14">
        <f>233759.12+76750.87</f>
        <v>310509.99</v>
      </c>
      <c r="AU26" s="22">
        <v>0.57069999999999999</v>
      </c>
      <c r="AV26" s="22">
        <v>0.37480000000000002</v>
      </c>
      <c r="AW26" s="192"/>
      <c r="AX26" s="193"/>
      <c r="AY26" s="196"/>
      <c r="AZ26" s="192"/>
      <c r="BA26" s="193"/>
      <c r="BB26" s="196"/>
      <c r="BC26" s="14">
        <f>234379.12+80184.05</f>
        <v>314563.17</v>
      </c>
      <c r="BD26" s="22">
        <v>0.57220000000000004</v>
      </c>
      <c r="BE26" s="22">
        <v>0.3916</v>
      </c>
      <c r="BF26" s="14">
        <f>234559.12+80184.3</f>
        <v>314743.42</v>
      </c>
      <c r="BG26" s="22">
        <v>0.57269999999999999</v>
      </c>
      <c r="BH26" s="22">
        <v>0.3916</v>
      </c>
      <c r="BI26" s="228"/>
      <c r="BJ26" s="14">
        <f>234671.12+80210.24</f>
        <v>314881.36</v>
      </c>
      <c r="BK26" s="22">
        <v>0.57299999999999995</v>
      </c>
      <c r="BL26" s="22">
        <v>0.39169999999999999</v>
      </c>
      <c r="BM26" s="14">
        <f>234833.12+80210.8</f>
        <v>315043.92</v>
      </c>
      <c r="BN26" s="22">
        <v>0.57330000000000003</v>
      </c>
      <c r="BO26" s="22">
        <v>0.39169999999999999</v>
      </c>
      <c r="BP26" s="14">
        <f>234946.12+80873.18</f>
        <v>315819.3</v>
      </c>
      <c r="BQ26" s="22">
        <v>0.5736</v>
      </c>
      <c r="BR26" s="22">
        <v>0.39489999999999997</v>
      </c>
      <c r="BS26" s="14">
        <f>235167.12+80873.18</f>
        <v>316040.3</v>
      </c>
      <c r="BT26" s="22">
        <v>0.57420000000000004</v>
      </c>
      <c r="BU26" s="22">
        <v>0.39489999999999997</v>
      </c>
      <c r="BV26" s="14">
        <f>235358.12+80873.43</f>
        <v>316231.55</v>
      </c>
      <c r="BW26" s="22">
        <v>0.5746</v>
      </c>
      <c r="BX26" s="22">
        <v>0.39489999999999997</v>
      </c>
      <c r="BY26" s="14">
        <f>235510.12+80901.93</f>
        <v>316412.05</v>
      </c>
      <c r="BZ26" s="22">
        <v>0.57499999999999996</v>
      </c>
      <c r="CA26" s="22">
        <v>0.39510000000000001</v>
      </c>
      <c r="CC26" s="72">
        <f>230.3/399.98*100</f>
        <v>57.5778788939447</v>
      </c>
      <c r="CD26" s="72">
        <f>79.01/199.98*100</f>
        <v>39.508950895089512</v>
      </c>
      <c r="CE26" s="72">
        <f>230.46/399.98*100</f>
        <v>57.617880894044703</v>
      </c>
      <c r="CF26" s="72">
        <f>79.01/199.98*100</f>
        <v>39.508950895089512</v>
      </c>
      <c r="CG26" s="72">
        <f>230.59/399.98*100</f>
        <v>57.650382519125955</v>
      </c>
      <c r="CH26" s="72">
        <f>79.01/199.98*100</f>
        <v>39.508950895089512</v>
      </c>
      <c r="CI26" s="72">
        <f>230.84/399.98*100</f>
        <v>57.71288564428221</v>
      </c>
      <c r="CJ26" s="72">
        <f>79.01/199.98*100</f>
        <v>39.508950895089512</v>
      </c>
      <c r="CK26" s="72">
        <f>230.97/399.98*100</f>
        <v>57.745387269363469</v>
      </c>
      <c r="CL26" s="72">
        <f>79.06/199.98*100</f>
        <v>39.533953395339537</v>
      </c>
      <c r="CM26" s="72">
        <f>231.16/399.98*100</f>
        <v>57.792889644482223</v>
      </c>
      <c r="CN26" s="72">
        <f>79.06/199.98*100</f>
        <v>39.533953395339537</v>
      </c>
      <c r="CO26" s="232"/>
      <c r="CP26" s="233"/>
      <c r="CQ26" s="72">
        <f>231.18/399.98*100</f>
        <v>57.797889894494723</v>
      </c>
      <c r="CR26" s="72">
        <f>79.06/199.98*100</f>
        <v>39.533953395339537</v>
      </c>
      <c r="CS26" s="72">
        <f>231.35/399.98*100</f>
        <v>57.840392019600969</v>
      </c>
      <c r="CT26" s="72">
        <f>79.06/199.98*100</f>
        <v>39.533953395339537</v>
      </c>
      <c r="CU26" s="72">
        <f>231.53/399.98*100</f>
        <v>57.885394269713487</v>
      </c>
      <c r="CV26" s="72">
        <f>81.29/199.98*100</f>
        <v>40.649064906490658</v>
      </c>
      <c r="CW26" s="72">
        <f>231.8/399.98*100</f>
        <v>57.952897644882242</v>
      </c>
      <c r="CX26" s="72">
        <f>81.33/199.98*100</f>
        <v>40.669066906690674</v>
      </c>
      <c r="CY26" s="72">
        <f>231.84/399.98*100</f>
        <v>57.96289814490725</v>
      </c>
      <c r="CZ26" s="72">
        <f>81.33/199.98*100</f>
        <v>40.669066906690674</v>
      </c>
      <c r="DA26" s="192"/>
      <c r="DB26" s="193"/>
      <c r="DC26" s="192"/>
      <c r="DD26" s="193"/>
      <c r="DE26" s="72">
        <f>232.28/399.98*100</f>
        <v>58.072903645182258</v>
      </c>
      <c r="DF26" s="72">
        <f>84.6/199.98*100</f>
        <v>42.304230423042306</v>
      </c>
      <c r="DG26" s="72">
        <f>232.43/399.98*100</f>
        <v>58.110405520276011</v>
      </c>
      <c r="DH26" s="72">
        <f>85.31/199.98*100</f>
        <v>42.65926592659266</v>
      </c>
      <c r="DI26" s="72">
        <f>232.61/399.98*100</f>
        <v>58.155407770388521</v>
      </c>
      <c r="DJ26" s="72">
        <f>85.31/199.98*100</f>
        <v>42.65926592659266</v>
      </c>
      <c r="DK26" s="72">
        <f>232.68/399.98*100</f>
        <v>58.172908645432273</v>
      </c>
      <c r="DL26" s="72">
        <f>85.36/199.98*100</f>
        <v>42.684268426842685</v>
      </c>
      <c r="DM26" s="72">
        <f>232.9/399.98*100</f>
        <v>58.227911395569777</v>
      </c>
      <c r="DN26" s="72">
        <f>85.37/199.98*100</f>
        <v>42.689268926892694</v>
      </c>
      <c r="DO26" s="129">
        <f>233.06/399.98*100</f>
        <v>58.26791339566978</v>
      </c>
      <c r="DP26" s="129">
        <f>85.75/199.98*100</f>
        <v>42.879287928792884</v>
      </c>
      <c r="DQ26" s="192"/>
      <c r="DR26" s="193"/>
      <c r="DS26" s="129">
        <f>233.19/399.98*100</f>
        <v>58.300415020751039</v>
      </c>
      <c r="DT26" s="129">
        <f>85.75/199.98*100</f>
        <v>42.879287928792884</v>
      </c>
      <c r="DU26" s="129">
        <f>233.19/399.98*100</f>
        <v>58.300415020751039</v>
      </c>
      <c r="DV26" s="129">
        <f>85.75/199.98*100</f>
        <v>42.879287928792884</v>
      </c>
      <c r="DW26" s="192"/>
      <c r="DX26" s="193"/>
      <c r="DY26" s="129">
        <f>233.66/399.99*100</f>
        <v>58.416460411510286</v>
      </c>
      <c r="DZ26" s="129">
        <f>85.75/199.98*100</f>
        <v>42.879287928792884</v>
      </c>
      <c r="EA26" s="129">
        <f>116.51/399.99*100</f>
        <v>29.128228205705142</v>
      </c>
      <c r="EB26" s="129">
        <f>120.41/199.98*100</f>
        <v>60.211021102110209</v>
      </c>
      <c r="EC26" s="129">
        <f>233.88/399.99*100</f>
        <v>58.471461786544666</v>
      </c>
      <c r="ED26" s="129">
        <f>85.79/199.98*100</f>
        <v>42.899289928992907</v>
      </c>
      <c r="EE26" s="192"/>
      <c r="EF26" s="193"/>
      <c r="EG26" s="14"/>
      <c r="EH26" s="22"/>
      <c r="EI26" s="129">
        <f>234.25/399.99*100</f>
        <v>58.563964099102471</v>
      </c>
      <c r="EJ26" s="129">
        <f>85.86/199.98*100</f>
        <v>42.934293429342937</v>
      </c>
      <c r="EL26" s="72"/>
      <c r="EM26" s="72"/>
      <c r="EN26" s="192"/>
      <c r="EO26" s="193"/>
      <c r="EP26" s="129">
        <f>234.59/399.99*100</f>
        <v>58.648966224155608</v>
      </c>
      <c r="EQ26" s="129">
        <f>85.86/199.98*100</f>
        <v>42.934293429342937</v>
      </c>
      <c r="ER26" s="129">
        <f>234.74/399.99*100</f>
        <v>58.686467161679047</v>
      </c>
      <c r="ES26" s="129">
        <f>85.86/199.98*100</f>
        <v>42.934293429342937</v>
      </c>
      <c r="ET26" s="192"/>
      <c r="EU26" s="193"/>
      <c r="EV26" s="129">
        <f>234.96/399.99*100</f>
        <v>58.741468536713413</v>
      </c>
      <c r="EW26" s="129">
        <f>88.36/199.98*100</f>
        <v>44.184418441844187</v>
      </c>
      <c r="EX26" s="129">
        <f>235.1/399.99*100</f>
        <v>58.776469411735292</v>
      </c>
      <c r="EY26" s="129">
        <f>88.38/199.98*100</f>
        <v>44.194419441944191</v>
      </c>
      <c r="EZ26" s="129">
        <f>235.26/399.99*100</f>
        <v>58.816470411760292</v>
      </c>
      <c r="FA26" s="129">
        <f>89.17/199.98*100</f>
        <v>44.589458945894592</v>
      </c>
      <c r="FB26" s="129">
        <v>58.86</v>
      </c>
      <c r="FC26" s="129">
        <v>44.59</v>
      </c>
      <c r="FD26" s="72">
        <v>58.89</v>
      </c>
      <c r="FE26" s="72">
        <v>44.59</v>
      </c>
      <c r="FF26" s="72">
        <v>58.92</v>
      </c>
      <c r="FG26" s="72">
        <v>46.39</v>
      </c>
      <c r="FH26" s="192"/>
      <c r="FI26" s="193"/>
      <c r="FJ26" s="72">
        <v>58.96</v>
      </c>
      <c r="FK26" s="72">
        <v>46.4</v>
      </c>
      <c r="FL26" s="72">
        <v>59</v>
      </c>
      <c r="FM26" s="72">
        <v>46.4</v>
      </c>
      <c r="FN26" s="72">
        <v>59.05</v>
      </c>
      <c r="FO26" s="72">
        <v>46.42</v>
      </c>
      <c r="FP26" s="72">
        <v>59.08</v>
      </c>
      <c r="FQ26" s="72">
        <v>46.42</v>
      </c>
      <c r="FR26" s="72">
        <v>59.11</v>
      </c>
      <c r="FS26" s="72">
        <v>46.45</v>
      </c>
      <c r="FT26" s="192"/>
      <c r="FU26" s="193"/>
      <c r="FV26" s="192"/>
      <c r="FW26" s="193"/>
      <c r="FX26" s="72">
        <v>59.11</v>
      </c>
      <c r="FY26" s="72">
        <v>46.65</v>
      </c>
      <c r="FZ26" s="72">
        <v>59.22</v>
      </c>
      <c r="GA26" s="72">
        <v>46.65</v>
      </c>
      <c r="GB26" s="72">
        <v>59.26</v>
      </c>
      <c r="GC26" s="72">
        <v>46.65</v>
      </c>
      <c r="GD26" s="72">
        <v>59.28</v>
      </c>
      <c r="GE26" s="72">
        <v>46.65</v>
      </c>
      <c r="GF26" s="72">
        <v>59.3</v>
      </c>
      <c r="GG26" s="72">
        <v>46.65</v>
      </c>
      <c r="GH26" s="129"/>
      <c r="GI26" s="129"/>
      <c r="GJ26" s="192"/>
      <c r="GK26" s="193"/>
      <c r="GL26" s="129">
        <v>59.41</v>
      </c>
      <c r="GM26" s="129">
        <v>46.69</v>
      </c>
      <c r="GN26" s="129">
        <v>59.44</v>
      </c>
      <c r="GO26" s="129">
        <v>46.69</v>
      </c>
      <c r="GP26" s="14">
        <v>59.47</v>
      </c>
      <c r="GQ26" s="14">
        <v>46.69</v>
      </c>
      <c r="GR26" s="14">
        <v>59.47</v>
      </c>
      <c r="GS26" s="14">
        <v>46.69</v>
      </c>
      <c r="GT26" s="14">
        <v>59.55</v>
      </c>
      <c r="GU26" s="14">
        <v>46.7</v>
      </c>
      <c r="GW26" s="14">
        <v>59.55</v>
      </c>
      <c r="GX26" s="14">
        <v>46.7</v>
      </c>
      <c r="GY26" s="192"/>
      <c r="GZ26" s="193"/>
      <c r="HA26" s="192"/>
      <c r="HB26" s="193"/>
      <c r="HC26" s="129">
        <v>59.64</v>
      </c>
      <c r="HD26" s="129">
        <v>47.13</v>
      </c>
      <c r="HE26" s="129"/>
      <c r="HF26" s="129"/>
      <c r="HG26" s="192"/>
      <c r="HH26" s="193"/>
      <c r="HI26" s="192"/>
      <c r="HJ26" s="193"/>
      <c r="HK26" s="129">
        <v>59.79</v>
      </c>
      <c r="HL26" s="129">
        <v>47.16</v>
      </c>
      <c r="HM26" s="192"/>
      <c r="HN26" s="193"/>
      <c r="HO26" s="72">
        <v>59.9</v>
      </c>
      <c r="HP26" s="72">
        <v>49.14</v>
      </c>
      <c r="HQ26" s="72">
        <v>59.9</v>
      </c>
      <c r="HR26" s="72">
        <v>49.14</v>
      </c>
      <c r="HS26" s="72">
        <v>59.94</v>
      </c>
      <c r="HT26" s="72">
        <v>49.14</v>
      </c>
      <c r="HU26" s="72">
        <v>59.99</v>
      </c>
      <c r="HV26" s="72">
        <v>49.14</v>
      </c>
      <c r="HW26" s="72">
        <v>59.99</v>
      </c>
      <c r="HX26" s="72">
        <v>49.14</v>
      </c>
      <c r="HY26" s="72"/>
      <c r="HZ26" s="72"/>
      <c r="IA26" s="72"/>
      <c r="IB26" s="72"/>
      <c r="IC26" s="72"/>
      <c r="ID26" s="72"/>
      <c r="IE26" s="72"/>
      <c r="IF26" s="72"/>
      <c r="IG26" s="72"/>
      <c r="IH26" s="72"/>
      <c r="II26" s="72"/>
      <c r="IJ26" s="72"/>
      <c r="IK26" s="192"/>
      <c r="IL26" s="193"/>
      <c r="IM26" s="72"/>
      <c r="IN26" s="72"/>
      <c r="IO26" s="192"/>
      <c r="IP26" s="193"/>
      <c r="IQ26" s="72">
        <v>60.36</v>
      </c>
      <c r="IR26" s="72">
        <v>49.51</v>
      </c>
      <c r="IS26" s="72">
        <v>60.36</v>
      </c>
      <c r="IT26" s="72">
        <v>49.51</v>
      </c>
      <c r="IU26" s="72">
        <v>60.36</v>
      </c>
      <c r="IV26" s="72">
        <v>49.51</v>
      </c>
      <c r="IW26" s="129"/>
      <c r="IX26" s="129"/>
      <c r="IY26" s="129"/>
      <c r="IZ26" s="129"/>
      <c r="JA26" s="129"/>
      <c r="JB26" s="129"/>
      <c r="JC26" s="129"/>
      <c r="JD26" s="129"/>
      <c r="JE26" s="129"/>
      <c r="JF26" s="129"/>
      <c r="JH26" s="129"/>
      <c r="JI26" s="129"/>
      <c r="JJ26" s="129"/>
      <c r="JK26" s="129"/>
      <c r="JL26" s="129"/>
      <c r="JM26" s="129"/>
      <c r="JN26" s="129"/>
      <c r="JO26" s="129"/>
      <c r="JP26" s="129">
        <v>60.82</v>
      </c>
      <c r="JQ26" s="129">
        <v>50.01</v>
      </c>
      <c r="JR26" s="186"/>
      <c r="JS26" s="187"/>
      <c r="JT26" s="129">
        <v>60.82</v>
      </c>
      <c r="JU26" s="129">
        <v>50.01</v>
      </c>
      <c r="JV26" s="129"/>
      <c r="JW26" s="129"/>
      <c r="JX26" s="129"/>
      <c r="JY26" s="129"/>
      <c r="JZ26" s="129"/>
      <c r="KA26" s="129"/>
      <c r="KB26" s="129"/>
      <c r="KC26" s="129"/>
      <c r="KD26" s="129"/>
      <c r="KE26" s="129"/>
      <c r="KF26" s="186"/>
      <c r="KG26" s="187"/>
      <c r="KH26" s="129"/>
      <c r="KI26" s="129"/>
      <c r="KJ26" s="129"/>
      <c r="KK26" s="129"/>
      <c r="KL26" s="129"/>
      <c r="KM26" s="129"/>
    </row>
    <row r="27" spans="1:299" x14ac:dyDescent="0.3">
      <c r="A27" s="24">
        <v>23</v>
      </c>
      <c r="B27" s="25" t="s">
        <v>31</v>
      </c>
      <c r="C27" s="26" t="s">
        <v>47</v>
      </c>
      <c r="D27" s="213"/>
      <c r="E27" s="27"/>
      <c r="F27" s="216"/>
      <c r="G27" s="27"/>
      <c r="H27" s="53"/>
      <c r="I27" s="61"/>
      <c r="J27" s="27"/>
      <c r="K27" s="62"/>
      <c r="L27" s="56"/>
      <c r="M27" s="27"/>
      <c r="N27" s="62"/>
      <c r="O27" s="61"/>
      <c r="P27" s="27"/>
      <c r="Q27" s="62"/>
      <c r="R27" s="56"/>
      <c r="S27" s="27"/>
      <c r="T27" s="62"/>
      <c r="U27" s="203"/>
      <c r="V27" s="61"/>
      <c r="W27" s="27"/>
      <c r="X27" s="62"/>
      <c r="Y27" s="61"/>
      <c r="Z27" s="56"/>
      <c r="AA27" s="80"/>
      <c r="AB27" s="61"/>
      <c r="AC27" s="56"/>
      <c r="AD27" s="80"/>
      <c r="AE27" s="56"/>
      <c r="AF27" s="56"/>
      <c r="AG27" s="56"/>
      <c r="AH27" s="27"/>
      <c r="AI27" s="27"/>
      <c r="AJ27" s="27"/>
      <c r="AK27" s="27"/>
      <c r="AL27" s="27"/>
      <c r="AM27" s="27"/>
      <c r="AN27" s="186"/>
      <c r="AO27" s="223"/>
      <c r="AP27" s="187"/>
      <c r="AQ27" s="27"/>
      <c r="AR27" s="27"/>
      <c r="AS27" s="27"/>
      <c r="AT27" s="27"/>
      <c r="AU27" s="27"/>
      <c r="AV27" s="27"/>
      <c r="AW27" s="192"/>
      <c r="AX27" s="193"/>
      <c r="AY27" s="196"/>
      <c r="AZ27" s="192"/>
      <c r="BA27" s="193"/>
      <c r="BB27" s="196"/>
      <c r="BC27" s="27"/>
      <c r="BD27" s="27"/>
      <c r="BE27" s="27"/>
      <c r="BF27" s="27"/>
      <c r="BG27" s="27"/>
      <c r="BH27" s="27"/>
      <c r="BI27" s="228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C27" s="53"/>
      <c r="CD27" s="53"/>
      <c r="CE27" s="61"/>
      <c r="CF27" s="27"/>
      <c r="CG27" s="56"/>
      <c r="CH27" s="27"/>
      <c r="CI27" s="61"/>
      <c r="CJ27" s="27"/>
      <c r="CK27" s="27"/>
      <c r="CL27" s="62"/>
      <c r="CM27" s="61"/>
      <c r="CN27" s="62"/>
      <c r="CO27" s="232"/>
      <c r="CP27" s="233"/>
      <c r="CQ27" s="61"/>
      <c r="CR27" s="56"/>
      <c r="CS27" s="56"/>
      <c r="CT27" s="56"/>
      <c r="CU27" s="27"/>
      <c r="CV27" s="27"/>
      <c r="CW27" s="27"/>
      <c r="CX27" s="27"/>
      <c r="CY27" s="27"/>
      <c r="CZ27" s="27"/>
      <c r="DA27" s="192"/>
      <c r="DB27" s="193"/>
      <c r="DC27" s="192"/>
      <c r="DD27" s="193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130"/>
      <c r="DP27" s="130"/>
      <c r="DQ27" s="192"/>
      <c r="DR27" s="193"/>
      <c r="DS27" s="27"/>
      <c r="DT27" s="27"/>
      <c r="DU27" s="27"/>
      <c r="DV27" s="27"/>
      <c r="DW27" s="192"/>
      <c r="DX27" s="193"/>
      <c r="DY27" s="27"/>
      <c r="DZ27" s="27"/>
      <c r="EA27" s="27"/>
      <c r="EB27" s="27"/>
      <c r="EC27" s="27"/>
      <c r="ED27" s="27"/>
      <c r="EE27" s="192"/>
      <c r="EF27" s="193"/>
      <c r="EG27" s="27"/>
      <c r="EH27" s="27"/>
      <c r="EI27" s="27"/>
      <c r="EJ27" s="27"/>
      <c r="EL27" s="53"/>
      <c r="EM27" s="53"/>
      <c r="EN27" s="192"/>
      <c r="EO27" s="193"/>
      <c r="EP27" s="56"/>
      <c r="EQ27" s="27"/>
      <c r="ER27" s="61"/>
      <c r="ES27" s="27"/>
      <c r="ET27" s="192"/>
      <c r="EU27" s="193"/>
      <c r="EV27" s="61"/>
      <c r="EW27" s="27"/>
      <c r="EX27" s="61"/>
      <c r="EY27" s="27"/>
      <c r="EZ27" s="61"/>
      <c r="FA27" s="27"/>
      <c r="FB27" s="61"/>
      <c r="FC27" s="27"/>
      <c r="FD27" s="27"/>
      <c r="FE27" s="27"/>
      <c r="FF27" s="27"/>
      <c r="FG27" s="27"/>
      <c r="FH27" s="192"/>
      <c r="FI27" s="193"/>
      <c r="FJ27" s="27"/>
      <c r="FK27" s="27"/>
      <c r="FL27" s="27"/>
      <c r="FM27" s="27"/>
      <c r="FN27" s="27"/>
      <c r="FO27" s="27"/>
      <c r="FP27" s="27"/>
      <c r="FQ27" s="27"/>
      <c r="FR27" s="27"/>
      <c r="FS27" s="27"/>
      <c r="FT27" s="192"/>
      <c r="FU27" s="193"/>
      <c r="FV27" s="192"/>
      <c r="FW27" s="193"/>
      <c r="FX27" s="27"/>
      <c r="FY27" s="27"/>
      <c r="FZ27" s="27"/>
      <c r="GA27" s="27"/>
      <c r="GB27" s="27"/>
      <c r="GC27" s="27"/>
      <c r="GD27" s="27"/>
      <c r="GE27" s="27"/>
      <c r="GF27" s="27"/>
      <c r="GG27" s="27"/>
      <c r="GH27" s="27"/>
      <c r="GI27" s="27"/>
      <c r="GJ27" s="192"/>
      <c r="GK27" s="193"/>
      <c r="GL27" s="27"/>
      <c r="GM27" s="27"/>
      <c r="GN27" s="27"/>
      <c r="GO27" s="27"/>
      <c r="GP27" s="27"/>
      <c r="GQ27" s="27"/>
      <c r="GR27" s="27"/>
      <c r="GS27" s="27"/>
      <c r="GT27" s="27"/>
      <c r="GU27" s="27"/>
      <c r="GW27" s="27"/>
      <c r="GX27" s="27"/>
      <c r="GY27" s="192"/>
      <c r="GZ27" s="193"/>
      <c r="HA27" s="192"/>
      <c r="HB27" s="193"/>
      <c r="HC27" s="61"/>
      <c r="HD27" s="27"/>
      <c r="HE27" s="61"/>
      <c r="HF27" s="27"/>
      <c r="HG27" s="192"/>
      <c r="HH27" s="193"/>
      <c r="HI27" s="192"/>
      <c r="HJ27" s="193"/>
      <c r="HK27" s="61"/>
      <c r="HL27" s="27"/>
      <c r="HM27" s="192"/>
      <c r="HN27" s="193"/>
      <c r="HO27" s="27"/>
      <c r="HP27" s="27"/>
      <c r="HQ27" s="27"/>
      <c r="HR27" s="27"/>
      <c r="HS27" s="27"/>
      <c r="HT27" s="27"/>
      <c r="HU27" s="27"/>
      <c r="HV27" s="27"/>
      <c r="HW27" s="27"/>
      <c r="HX27" s="27"/>
      <c r="HY27" s="27"/>
      <c r="HZ27" s="27"/>
      <c r="IA27" s="27"/>
      <c r="IB27" s="27"/>
      <c r="IC27" s="27"/>
      <c r="ID27" s="27"/>
      <c r="IE27" s="27"/>
      <c r="IF27" s="27"/>
      <c r="IG27" s="27"/>
      <c r="IH27" s="27"/>
      <c r="II27" s="27"/>
      <c r="IJ27" s="27"/>
      <c r="IK27" s="192"/>
      <c r="IL27" s="193"/>
      <c r="IM27" s="27"/>
      <c r="IN27" s="27"/>
      <c r="IO27" s="192"/>
      <c r="IP27" s="193"/>
      <c r="IQ27" s="27"/>
      <c r="IR27" s="27"/>
      <c r="IS27" s="27"/>
      <c r="IT27" s="27"/>
      <c r="IU27" s="27"/>
      <c r="IV27" s="27"/>
      <c r="IW27" s="27"/>
      <c r="IX27" s="27"/>
      <c r="IY27" s="27"/>
      <c r="IZ27" s="27"/>
      <c r="JA27" s="27"/>
      <c r="JB27" s="27"/>
      <c r="JC27" s="27"/>
      <c r="JD27" s="27"/>
      <c r="JE27" s="27"/>
      <c r="JF27" s="27"/>
      <c r="JH27" s="27"/>
      <c r="JI27" s="27"/>
      <c r="JJ27" s="27"/>
      <c r="JK27" s="27"/>
      <c r="JL27" s="27"/>
      <c r="JM27" s="27"/>
      <c r="JN27" s="27"/>
      <c r="JO27" s="27"/>
      <c r="JP27" s="27"/>
      <c r="JQ27" s="27"/>
      <c r="JR27" s="186"/>
      <c r="JS27" s="187"/>
      <c r="JT27" s="27"/>
      <c r="JU27" s="27"/>
      <c r="JV27" s="27"/>
      <c r="JW27" s="27"/>
      <c r="JX27" s="27"/>
      <c r="JY27" s="27"/>
      <c r="JZ27" s="27"/>
      <c r="KA27" s="27"/>
      <c r="KB27" s="27"/>
      <c r="KC27" s="27"/>
      <c r="KD27" s="27"/>
      <c r="KE27" s="27"/>
      <c r="KF27" s="186"/>
      <c r="KG27" s="187"/>
      <c r="KH27" s="27"/>
      <c r="KI27" s="27"/>
      <c r="KJ27" s="27"/>
      <c r="KK27" s="27"/>
      <c r="KL27" s="27"/>
      <c r="KM27" s="27"/>
    </row>
    <row r="28" spans="1:299" x14ac:dyDescent="0.3">
      <c r="A28" s="24">
        <v>24</v>
      </c>
      <c r="B28" s="25" t="s">
        <v>32</v>
      </c>
      <c r="C28" s="26" t="s">
        <v>47</v>
      </c>
      <c r="D28" s="213"/>
      <c r="E28" s="27"/>
      <c r="F28" s="216"/>
      <c r="G28" s="27"/>
      <c r="H28" s="53"/>
      <c r="I28" s="61"/>
      <c r="J28" s="27"/>
      <c r="K28" s="62"/>
      <c r="L28" s="56"/>
      <c r="M28" s="27"/>
      <c r="N28" s="62"/>
      <c r="O28" s="61"/>
      <c r="P28" s="27"/>
      <c r="Q28" s="62"/>
      <c r="R28" s="56"/>
      <c r="S28" s="27"/>
      <c r="T28" s="62"/>
      <c r="U28" s="203"/>
      <c r="V28" s="61"/>
      <c r="W28" s="27"/>
      <c r="X28" s="62"/>
      <c r="Y28" s="61"/>
      <c r="Z28" s="56"/>
      <c r="AA28" s="80"/>
      <c r="AB28" s="61"/>
      <c r="AC28" s="56"/>
      <c r="AD28" s="80"/>
      <c r="AE28" s="56"/>
      <c r="AF28" s="56"/>
      <c r="AG28" s="56"/>
      <c r="AH28" s="27"/>
      <c r="AI28" s="27"/>
      <c r="AJ28" s="27"/>
      <c r="AK28" s="27"/>
      <c r="AL28" s="27"/>
      <c r="AM28" s="27"/>
      <c r="AN28" s="186"/>
      <c r="AO28" s="223"/>
      <c r="AP28" s="187"/>
      <c r="AQ28" s="27"/>
      <c r="AR28" s="27"/>
      <c r="AS28" s="27"/>
      <c r="AT28" s="27"/>
      <c r="AU28" s="27"/>
      <c r="AV28" s="27"/>
      <c r="AW28" s="192"/>
      <c r="AX28" s="193"/>
      <c r="AY28" s="196"/>
      <c r="AZ28" s="192"/>
      <c r="BA28" s="193"/>
      <c r="BB28" s="196"/>
      <c r="BC28" s="27"/>
      <c r="BD28" s="27"/>
      <c r="BE28" s="27"/>
      <c r="BF28" s="27"/>
      <c r="BG28" s="27"/>
      <c r="BH28" s="27"/>
      <c r="BI28" s="228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C28" s="53"/>
      <c r="CD28" s="53"/>
      <c r="CE28" s="61"/>
      <c r="CF28" s="27"/>
      <c r="CG28" s="56"/>
      <c r="CH28" s="27"/>
      <c r="CI28" s="61"/>
      <c r="CJ28" s="27"/>
      <c r="CK28" s="27"/>
      <c r="CL28" s="62"/>
      <c r="CM28" s="61"/>
      <c r="CN28" s="62"/>
      <c r="CO28" s="232"/>
      <c r="CP28" s="233"/>
      <c r="CQ28" s="61"/>
      <c r="CR28" s="56"/>
      <c r="CS28" s="56"/>
      <c r="CT28" s="56"/>
      <c r="CU28" s="27"/>
      <c r="CV28" s="27"/>
      <c r="CW28" s="27"/>
      <c r="CX28" s="27"/>
      <c r="CY28" s="27"/>
      <c r="CZ28" s="27"/>
      <c r="DA28" s="192"/>
      <c r="DB28" s="193"/>
      <c r="DC28" s="192"/>
      <c r="DD28" s="193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130"/>
      <c r="DP28" s="130"/>
      <c r="DQ28" s="192"/>
      <c r="DR28" s="193"/>
      <c r="DS28" s="27"/>
      <c r="DT28" s="27"/>
      <c r="DU28" s="27"/>
      <c r="DV28" s="27"/>
      <c r="DW28" s="192"/>
      <c r="DX28" s="193"/>
      <c r="DY28" s="27"/>
      <c r="DZ28" s="27"/>
      <c r="EA28" s="27"/>
      <c r="EB28" s="27"/>
      <c r="EC28" s="27"/>
      <c r="ED28" s="27"/>
      <c r="EE28" s="192"/>
      <c r="EF28" s="193"/>
      <c r="EG28" s="27"/>
      <c r="EH28" s="27"/>
      <c r="EI28" s="27"/>
      <c r="EJ28" s="27"/>
      <c r="EL28" s="53"/>
      <c r="EM28" s="53"/>
      <c r="EN28" s="192"/>
      <c r="EO28" s="193"/>
      <c r="EP28" s="56"/>
      <c r="EQ28" s="27"/>
      <c r="ER28" s="61"/>
      <c r="ES28" s="27"/>
      <c r="ET28" s="192"/>
      <c r="EU28" s="193"/>
      <c r="EV28" s="61"/>
      <c r="EW28" s="27"/>
      <c r="EX28" s="61"/>
      <c r="EY28" s="27"/>
      <c r="EZ28" s="61"/>
      <c r="FA28" s="27"/>
      <c r="FB28" s="61"/>
      <c r="FC28" s="27"/>
      <c r="FD28" s="27"/>
      <c r="FE28" s="27"/>
      <c r="FF28" s="27"/>
      <c r="FG28" s="27"/>
      <c r="FH28" s="192"/>
      <c r="FI28" s="193"/>
      <c r="FJ28" s="27"/>
      <c r="FK28" s="27"/>
      <c r="FL28" s="27"/>
      <c r="FM28" s="27"/>
      <c r="FN28" s="27"/>
      <c r="FO28" s="27"/>
      <c r="FP28" s="27"/>
      <c r="FQ28" s="27"/>
      <c r="FR28" s="27"/>
      <c r="FS28" s="27"/>
      <c r="FT28" s="192"/>
      <c r="FU28" s="193"/>
      <c r="FV28" s="192"/>
      <c r="FW28" s="193"/>
      <c r="FX28" s="27"/>
      <c r="FY28" s="27"/>
      <c r="FZ28" s="27"/>
      <c r="GA28" s="27"/>
      <c r="GB28" s="27"/>
      <c r="GC28" s="27"/>
      <c r="GD28" s="27"/>
      <c r="GE28" s="27"/>
      <c r="GF28" s="27"/>
      <c r="GG28" s="27"/>
      <c r="GH28" s="27"/>
      <c r="GI28" s="27"/>
      <c r="GJ28" s="192"/>
      <c r="GK28" s="193"/>
      <c r="GL28" s="27"/>
      <c r="GM28" s="27"/>
      <c r="GN28" s="27"/>
      <c r="GO28" s="27"/>
      <c r="GP28" s="27"/>
      <c r="GQ28" s="27"/>
      <c r="GR28" s="27"/>
      <c r="GS28" s="27"/>
      <c r="GT28" s="27"/>
      <c r="GU28" s="27"/>
      <c r="GW28" s="27"/>
      <c r="GX28" s="27"/>
      <c r="GY28" s="192"/>
      <c r="GZ28" s="193"/>
      <c r="HA28" s="192"/>
      <c r="HB28" s="193"/>
      <c r="HC28" s="61"/>
      <c r="HD28" s="27"/>
      <c r="HE28" s="61"/>
      <c r="HF28" s="27"/>
      <c r="HG28" s="192"/>
      <c r="HH28" s="193"/>
      <c r="HI28" s="192"/>
      <c r="HJ28" s="193"/>
      <c r="HK28" s="61"/>
      <c r="HL28" s="27"/>
      <c r="HM28" s="192"/>
      <c r="HN28" s="193"/>
      <c r="HO28" s="27"/>
      <c r="HP28" s="27"/>
      <c r="HQ28" s="27"/>
      <c r="HR28" s="27"/>
      <c r="HS28" s="27"/>
      <c r="HT28" s="27"/>
      <c r="HU28" s="27"/>
      <c r="HV28" s="27"/>
      <c r="HW28" s="27"/>
      <c r="HX28" s="27"/>
      <c r="HY28" s="27"/>
      <c r="HZ28" s="27"/>
      <c r="IA28" s="27"/>
      <c r="IB28" s="27"/>
      <c r="IC28" s="27"/>
      <c r="ID28" s="27"/>
      <c r="IE28" s="27"/>
      <c r="IF28" s="27"/>
      <c r="IG28" s="27"/>
      <c r="IH28" s="27"/>
      <c r="II28" s="27"/>
      <c r="IJ28" s="27"/>
      <c r="IK28" s="192"/>
      <c r="IL28" s="193"/>
      <c r="IM28" s="27"/>
      <c r="IN28" s="27"/>
      <c r="IO28" s="192"/>
      <c r="IP28" s="193"/>
      <c r="IQ28" s="27"/>
      <c r="IR28" s="27"/>
      <c r="IS28" s="27"/>
      <c r="IT28" s="27"/>
      <c r="IU28" s="27"/>
      <c r="IV28" s="27"/>
      <c r="IW28" s="27"/>
      <c r="IX28" s="27"/>
      <c r="IY28" s="27"/>
      <c r="IZ28" s="27"/>
      <c r="JA28" s="27"/>
      <c r="JB28" s="27"/>
      <c r="JC28" s="27"/>
      <c r="JD28" s="27"/>
      <c r="JE28" s="27"/>
      <c r="JF28" s="27"/>
      <c r="JH28" s="27"/>
      <c r="JI28" s="27"/>
      <c r="JJ28" s="27"/>
      <c r="JK28" s="27"/>
      <c r="JL28" s="27"/>
      <c r="JM28" s="27"/>
      <c r="JN28" s="27"/>
      <c r="JO28" s="27"/>
      <c r="JP28" s="27"/>
      <c r="JQ28" s="27"/>
      <c r="JR28" s="186"/>
      <c r="JS28" s="187"/>
      <c r="JT28" s="27"/>
      <c r="JU28" s="27"/>
      <c r="JV28" s="27"/>
      <c r="JW28" s="27"/>
      <c r="JX28" s="27"/>
      <c r="JY28" s="27"/>
      <c r="JZ28" s="27"/>
      <c r="KA28" s="27"/>
      <c r="KB28" s="27"/>
      <c r="KC28" s="27"/>
      <c r="KD28" s="27"/>
      <c r="KE28" s="27"/>
      <c r="KF28" s="186"/>
      <c r="KG28" s="187"/>
      <c r="KH28" s="27"/>
      <c r="KI28" s="27"/>
      <c r="KJ28" s="27"/>
      <c r="KK28" s="27"/>
      <c r="KL28" s="27"/>
      <c r="KM28" s="27"/>
    </row>
    <row r="29" spans="1:299" x14ac:dyDescent="0.3">
      <c r="A29" s="24">
        <v>25</v>
      </c>
      <c r="B29" s="25" t="s">
        <v>33</v>
      </c>
      <c r="C29" s="26" t="s">
        <v>47</v>
      </c>
      <c r="D29" s="213"/>
      <c r="E29" s="27"/>
      <c r="F29" s="216"/>
      <c r="G29" s="27"/>
      <c r="H29" s="53"/>
      <c r="I29" s="61"/>
      <c r="J29" s="27"/>
      <c r="K29" s="62"/>
      <c r="L29" s="56"/>
      <c r="M29" s="27"/>
      <c r="N29" s="62"/>
      <c r="O29" s="61"/>
      <c r="P29" s="27"/>
      <c r="Q29" s="62"/>
      <c r="R29" s="56"/>
      <c r="S29" s="27"/>
      <c r="T29" s="62"/>
      <c r="U29" s="203"/>
      <c r="V29" s="61"/>
      <c r="W29" s="27"/>
      <c r="X29" s="62"/>
      <c r="Y29" s="61"/>
      <c r="Z29" s="56"/>
      <c r="AA29" s="80"/>
      <c r="AB29" s="61"/>
      <c r="AC29" s="56"/>
      <c r="AD29" s="80"/>
      <c r="AE29" s="56"/>
      <c r="AF29" s="56"/>
      <c r="AG29" s="56"/>
      <c r="AH29" s="27"/>
      <c r="AI29" s="27"/>
      <c r="AJ29" s="27"/>
      <c r="AK29" s="27"/>
      <c r="AL29" s="27"/>
      <c r="AM29" s="27"/>
      <c r="AN29" s="186"/>
      <c r="AO29" s="223"/>
      <c r="AP29" s="187"/>
      <c r="AQ29" s="27"/>
      <c r="AR29" s="27"/>
      <c r="AS29" s="27"/>
      <c r="AT29" s="27"/>
      <c r="AU29" s="27"/>
      <c r="AV29" s="27"/>
      <c r="AW29" s="192"/>
      <c r="AX29" s="193"/>
      <c r="AY29" s="196"/>
      <c r="AZ29" s="192"/>
      <c r="BA29" s="193"/>
      <c r="BB29" s="196"/>
      <c r="BC29" s="27"/>
      <c r="BD29" s="27"/>
      <c r="BE29" s="27"/>
      <c r="BF29" s="27"/>
      <c r="BG29" s="27"/>
      <c r="BH29" s="27"/>
      <c r="BI29" s="228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C29" s="53"/>
      <c r="CD29" s="53"/>
      <c r="CE29" s="61"/>
      <c r="CF29" s="27"/>
      <c r="CG29" s="56"/>
      <c r="CH29" s="27"/>
      <c r="CI29" s="61"/>
      <c r="CJ29" s="27"/>
      <c r="CK29" s="27"/>
      <c r="CL29" s="62"/>
      <c r="CM29" s="61"/>
      <c r="CN29" s="62"/>
      <c r="CO29" s="232"/>
      <c r="CP29" s="233"/>
      <c r="CQ29" s="61"/>
      <c r="CR29" s="56"/>
      <c r="CS29" s="56"/>
      <c r="CT29" s="56"/>
      <c r="CU29" s="27"/>
      <c r="CV29" s="27"/>
      <c r="CW29" s="27"/>
      <c r="CX29" s="27"/>
      <c r="CY29" s="27"/>
      <c r="CZ29" s="27"/>
      <c r="DA29" s="192"/>
      <c r="DB29" s="193"/>
      <c r="DC29" s="192"/>
      <c r="DD29" s="193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130"/>
      <c r="DP29" s="130"/>
      <c r="DQ29" s="192"/>
      <c r="DR29" s="193"/>
      <c r="DS29" s="27"/>
      <c r="DT29" s="27"/>
      <c r="DU29" s="27"/>
      <c r="DV29" s="27"/>
      <c r="DW29" s="192"/>
      <c r="DX29" s="193"/>
      <c r="DY29" s="27"/>
      <c r="DZ29" s="27"/>
      <c r="EA29" s="27"/>
      <c r="EB29" s="27"/>
      <c r="EC29" s="27"/>
      <c r="ED29" s="27"/>
      <c r="EE29" s="192"/>
      <c r="EF29" s="193"/>
      <c r="EG29" s="27"/>
      <c r="EH29" s="27"/>
      <c r="EI29" s="27"/>
      <c r="EJ29" s="27"/>
      <c r="EL29" s="53"/>
      <c r="EM29" s="53"/>
      <c r="EN29" s="192"/>
      <c r="EO29" s="193"/>
      <c r="EP29" s="56"/>
      <c r="EQ29" s="27"/>
      <c r="ER29" s="61"/>
      <c r="ES29" s="27"/>
      <c r="ET29" s="192"/>
      <c r="EU29" s="193"/>
      <c r="EV29" s="61"/>
      <c r="EW29" s="27"/>
      <c r="EX29" s="61"/>
      <c r="EY29" s="27"/>
      <c r="EZ29" s="61"/>
      <c r="FA29" s="27"/>
      <c r="FB29" s="61"/>
      <c r="FC29" s="27"/>
      <c r="FD29" s="27"/>
      <c r="FE29" s="27"/>
      <c r="FF29" s="27"/>
      <c r="FG29" s="27"/>
      <c r="FH29" s="192"/>
      <c r="FI29" s="193"/>
      <c r="FJ29" s="27"/>
      <c r="FK29" s="27"/>
      <c r="FL29" s="27"/>
      <c r="FM29" s="27"/>
      <c r="FN29" s="27"/>
      <c r="FO29" s="27"/>
      <c r="FP29" s="27"/>
      <c r="FQ29" s="27"/>
      <c r="FR29" s="27"/>
      <c r="FS29" s="27"/>
      <c r="FT29" s="192"/>
      <c r="FU29" s="193"/>
      <c r="FV29" s="192"/>
      <c r="FW29" s="193"/>
      <c r="FX29" s="27"/>
      <c r="FY29" s="27"/>
      <c r="FZ29" s="27"/>
      <c r="GA29" s="27"/>
      <c r="GB29" s="27"/>
      <c r="GC29" s="27"/>
      <c r="GD29" s="27"/>
      <c r="GE29" s="27"/>
      <c r="GF29" s="27"/>
      <c r="GG29" s="27"/>
      <c r="GH29" s="27"/>
      <c r="GI29" s="27"/>
      <c r="GJ29" s="192"/>
      <c r="GK29" s="193"/>
      <c r="GL29" s="27"/>
      <c r="GM29" s="27"/>
      <c r="GN29" s="27"/>
      <c r="GO29" s="27"/>
      <c r="GP29" s="27"/>
      <c r="GQ29" s="27"/>
      <c r="GR29" s="27"/>
      <c r="GS29" s="27"/>
      <c r="GT29" s="27"/>
      <c r="GU29" s="27"/>
      <c r="GW29" s="27"/>
      <c r="GX29" s="27"/>
      <c r="GY29" s="192"/>
      <c r="GZ29" s="193"/>
      <c r="HA29" s="192"/>
      <c r="HB29" s="193"/>
      <c r="HC29" s="61"/>
      <c r="HD29" s="27"/>
      <c r="HE29" s="61"/>
      <c r="HF29" s="27"/>
      <c r="HG29" s="192"/>
      <c r="HH29" s="193"/>
      <c r="HI29" s="192"/>
      <c r="HJ29" s="193"/>
      <c r="HK29" s="61"/>
      <c r="HL29" s="27"/>
      <c r="HM29" s="192"/>
      <c r="HN29" s="193"/>
      <c r="HO29" s="27"/>
      <c r="HP29" s="27"/>
      <c r="HQ29" s="27"/>
      <c r="HR29" s="27"/>
      <c r="HS29" s="27"/>
      <c r="HT29" s="27"/>
      <c r="HU29" s="27"/>
      <c r="HV29" s="27"/>
      <c r="HW29" s="27"/>
      <c r="HX29" s="27"/>
      <c r="HY29" s="27"/>
      <c r="HZ29" s="27"/>
      <c r="IA29" s="27"/>
      <c r="IB29" s="27"/>
      <c r="IC29" s="27"/>
      <c r="ID29" s="27"/>
      <c r="IE29" s="27"/>
      <c r="IF29" s="27"/>
      <c r="IG29" s="27"/>
      <c r="IH29" s="27"/>
      <c r="II29" s="27"/>
      <c r="IJ29" s="27"/>
      <c r="IK29" s="192"/>
      <c r="IL29" s="193"/>
      <c r="IM29" s="27"/>
      <c r="IN29" s="27"/>
      <c r="IO29" s="192"/>
      <c r="IP29" s="193"/>
      <c r="IQ29" s="27"/>
      <c r="IR29" s="27"/>
      <c r="IS29" s="27"/>
      <c r="IT29" s="27"/>
      <c r="IU29" s="27"/>
      <c r="IV29" s="27"/>
      <c r="IW29" s="27"/>
      <c r="IX29" s="27"/>
      <c r="IY29" s="27"/>
      <c r="IZ29" s="27"/>
      <c r="JA29" s="27"/>
      <c r="JB29" s="27"/>
      <c r="JC29" s="27"/>
      <c r="JD29" s="27"/>
      <c r="JE29" s="27"/>
      <c r="JF29" s="27"/>
      <c r="JH29" s="27"/>
      <c r="JI29" s="27"/>
      <c r="JJ29" s="27"/>
      <c r="JK29" s="27"/>
      <c r="JL29" s="27"/>
      <c r="JM29" s="27"/>
      <c r="JN29" s="27"/>
      <c r="JO29" s="27"/>
      <c r="JP29" s="27"/>
      <c r="JQ29" s="27"/>
      <c r="JR29" s="186"/>
      <c r="JS29" s="187"/>
      <c r="JT29" s="27"/>
      <c r="JU29" s="27"/>
      <c r="JV29" s="27"/>
      <c r="JW29" s="27"/>
      <c r="JX29" s="27"/>
      <c r="JY29" s="27"/>
      <c r="JZ29" s="27"/>
      <c r="KA29" s="27"/>
      <c r="KB29" s="27"/>
      <c r="KC29" s="27"/>
      <c r="KD29" s="27"/>
      <c r="KE29" s="27"/>
      <c r="KF29" s="186"/>
      <c r="KG29" s="187"/>
      <c r="KH29" s="27"/>
      <c r="KI29" s="27"/>
      <c r="KJ29" s="27"/>
      <c r="KK29" s="27"/>
      <c r="KL29" s="27"/>
      <c r="KM29" s="27"/>
    </row>
    <row r="30" spans="1:299" x14ac:dyDescent="0.3">
      <c r="A30" s="24">
        <v>26</v>
      </c>
      <c r="B30" s="25" t="s">
        <v>34</v>
      </c>
      <c r="C30" s="26" t="s">
        <v>47</v>
      </c>
      <c r="D30" s="213"/>
      <c r="E30" s="27"/>
      <c r="F30" s="216"/>
      <c r="G30" s="27"/>
      <c r="H30" s="53"/>
      <c r="I30" s="61"/>
      <c r="J30" s="27"/>
      <c r="K30" s="62"/>
      <c r="L30" s="56"/>
      <c r="M30" s="27"/>
      <c r="N30" s="62"/>
      <c r="O30" s="61"/>
      <c r="P30" s="27"/>
      <c r="Q30" s="62"/>
      <c r="R30" s="56"/>
      <c r="S30" s="27"/>
      <c r="T30" s="62"/>
      <c r="U30" s="203"/>
      <c r="V30" s="61"/>
      <c r="W30" s="27"/>
      <c r="X30" s="62"/>
      <c r="Y30" s="61"/>
      <c r="Z30" s="56"/>
      <c r="AA30" s="80"/>
      <c r="AB30" s="61"/>
      <c r="AC30" s="56"/>
      <c r="AD30" s="80"/>
      <c r="AE30" s="56"/>
      <c r="AF30" s="56"/>
      <c r="AG30" s="56"/>
      <c r="AH30" s="27"/>
      <c r="AI30" s="27"/>
      <c r="AJ30" s="27"/>
      <c r="AK30" s="27"/>
      <c r="AL30" s="27"/>
      <c r="AM30" s="27"/>
      <c r="AN30" s="186"/>
      <c r="AO30" s="223"/>
      <c r="AP30" s="187"/>
      <c r="AQ30" s="27"/>
      <c r="AR30" s="27"/>
      <c r="AS30" s="27"/>
      <c r="AT30" s="27"/>
      <c r="AU30" s="27"/>
      <c r="AV30" s="27"/>
      <c r="AW30" s="192"/>
      <c r="AX30" s="193"/>
      <c r="AY30" s="196"/>
      <c r="AZ30" s="192"/>
      <c r="BA30" s="193"/>
      <c r="BB30" s="196"/>
      <c r="BC30" s="27"/>
      <c r="BD30" s="27"/>
      <c r="BE30" s="27"/>
      <c r="BF30" s="27"/>
      <c r="BG30" s="27"/>
      <c r="BH30" s="27"/>
      <c r="BI30" s="228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C30" s="53"/>
      <c r="CD30" s="53"/>
      <c r="CE30" s="61"/>
      <c r="CF30" s="27"/>
      <c r="CG30" s="56"/>
      <c r="CH30" s="27"/>
      <c r="CI30" s="61"/>
      <c r="CJ30" s="27"/>
      <c r="CK30" s="27"/>
      <c r="CL30" s="62"/>
      <c r="CM30" s="61"/>
      <c r="CN30" s="62"/>
      <c r="CO30" s="232"/>
      <c r="CP30" s="233"/>
      <c r="CQ30" s="61"/>
      <c r="CR30" s="56"/>
      <c r="CS30" s="56"/>
      <c r="CT30" s="56"/>
      <c r="CU30" s="27"/>
      <c r="CV30" s="27"/>
      <c r="CW30" s="27"/>
      <c r="CX30" s="27"/>
      <c r="CY30" s="27"/>
      <c r="CZ30" s="27"/>
      <c r="DA30" s="192"/>
      <c r="DB30" s="193"/>
      <c r="DC30" s="192"/>
      <c r="DD30" s="193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130"/>
      <c r="DP30" s="130"/>
      <c r="DQ30" s="192"/>
      <c r="DR30" s="193"/>
      <c r="DS30" s="27"/>
      <c r="DT30" s="27"/>
      <c r="DU30" s="27"/>
      <c r="DV30" s="27"/>
      <c r="DW30" s="192"/>
      <c r="DX30" s="193"/>
      <c r="DY30" s="27"/>
      <c r="DZ30" s="27"/>
      <c r="EA30" s="27"/>
      <c r="EB30" s="27"/>
      <c r="EC30" s="27"/>
      <c r="ED30" s="27"/>
      <c r="EE30" s="192"/>
      <c r="EF30" s="193"/>
      <c r="EG30" s="27"/>
      <c r="EH30" s="27"/>
      <c r="EI30" s="27"/>
      <c r="EJ30" s="27"/>
      <c r="EL30" s="53"/>
      <c r="EM30" s="53"/>
      <c r="EN30" s="192"/>
      <c r="EO30" s="193"/>
      <c r="EP30" s="56"/>
      <c r="EQ30" s="27"/>
      <c r="ER30" s="61"/>
      <c r="ES30" s="27"/>
      <c r="ET30" s="192"/>
      <c r="EU30" s="193"/>
      <c r="EV30" s="61"/>
      <c r="EW30" s="27"/>
      <c r="EX30" s="61"/>
      <c r="EY30" s="27"/>
      <c r="EZ30" s="61"/>
      <c r="FA30" s="27"/>
      <c r="FB30" s="61"/>
      <c r="FC30" s="27"/>
      <c r="FD30" s="27"/>
      <c r="FE30" s="27"/>
      <c r="FF30" s="27"/>
      <c r="FG30" s="27"/>
      <c r="FH30" s="192"/>
      <c r="FI30" s="193"/>
      <c r="FJ30" s="27"/>
      <c r="FK30" s="27"/>
      <c r="FL30" s="27"/>
      <c r="FM30" s="27"/>
      <c r="FN30" s="27"/>
      <c r="FO30" s="27"/>
      <c r="FP30" s="27"/>
      <c r="FQ30" s="27"/>
      <c r="FR30" s="27"/>
      <c r="FS30" s="27"/>
      <c r="FT30" s="192"/>
      <c r="FU30" s="193"/>
      <c r="FV30" s="192"/>
      <c r="FW30" s="193"/>
      <c r="FX30" s="27"/>
      <c r="FY30" s="27"/>
      <c r="FZ30" s="27"/>
      <c r="GA30" s="27"/>
      <c r="GB30" s="27"/>
      <c r="GC30" s="27"/>
      <c r="GD30" s="27"/>
      <c r="GE30" s="27"/>
      <c r="GF30" s="27"/>
      <c r="GG30" s="27"/>
      <c r="GH30" s="27"/>
      <c r="GI30" s="27"/>
      <c r="GJ30" s="192"/>
      <c r="GK30" s="193"/>
      <c r="GL30" s="27"/>
      <c r="GM30" s="27"/>
      <c r="GN30" s="27"/>
      <c r="GO30" s="27"/>
      <c r="GP30" s="27"/>
      <c r="GQ30" s="27"/>
      <c r="GR30" s="27"/>
      <c r="GS30" s="27"/>
      <c r="GT30" s="27"/>
      <c r="GU30" s="27"/>
      <c r="GW30" s="27"/>
      <c r="GX30" s="27"/>
      <c r="GY30" s="192"/>
      <c r="GZ30" s="193"/>
      <c r="HA30" s="192"/>
      <c r="HB30" s="193"/>
      <c r="HC30" s="61"/>
      <c r="HD30" s="27"/>
      <c r="HE30" s="61"/>
      <c r="HF30" s="27"/>
      <c r="HG30" s="192"/>
      <c r="HH30" s="193"/>
      <c r="HI30" s="192"/>
      <c r="HJ30" s="193"/>
      <c r="HK30" s="61"/>
      <c r="HL30" s="27"/>
      <c r="HM30" s="192"/>
      <c r="HN30" s="193"/>
      <c r="HO30" s="27"/>
      <c r="HP30" s="27"/>
      <c r="HQ30" s="27"/>
      <c r="HR30" s="27"/>
      <c r="HS30" s="27"/>
      <c r="HT30" s="27"/>
      <c r="HU30" s="27"/>
      <c r="HV30" s="27"/>
      <c r="HW30" s="27"/>
      <c r="HX30" s="27"/>
      <c r="HY30" s="27"/>
      <c r="HZ30" s="27"/>
      <c r="IA30" s="27"/>
      <c r="IB30" s="27"/>
      <c r="IC30" s="27"/>
      <c r="ID30" s="27"/>
      <c r="IE30" s="27"/>
      <c r="IF30" s="27"/>
      <c r="IG30" s="27"/>
      <c r="IH30" s="27"/>
      <c r="II30" s="27"/>
      <c r="IJ30" s="27"/>
      <c r="IK30" s="192"/>
      <c r="IL30" s="193"/>
      <c r="IM30" s="27"/>
      <c r="IN30" s="27"/>
      <c r="IO30" s="192"/>
      <c r="IP30" s="193"/>
      <c r="IQ30" s="27"/>
      <c r="IR30" s="27"/>
      <c r="IS30" s="27"/>
      <c r="IT30" s="27"/>
      <c r="IU30" s="27"/>
      <c r="IV30" s="27"/>
      <c r="IW30" s="27"/>
      <c r="IX30" s="27"/>
      <c r="IY30" s="27"/>
      <c r="IZ30" s="27"/>
      <c r="JA30" s="27"/>
      <c r="JB30" s="27"/>
      <c r="JC30" s="27"/>
      <c r="JD30" s="27"/>
      <c r="JE30" s="27"/>
      <c r="JF30" s="27"/>
      <c r="JH30" s="27"/>
      <c r="JI30" s="27"/>
      <c r="JJ30" s="27"/>
      <c r="JK30" s="27"/>
      <c r="JL30" s="27"/>
      <c r="JM30" s="27"/>
      <c r="JN30" s="27"/>
      <c r="JO30" s="27"/>
      <c r="JP30" s="27"/>
      <c r="JQ30" s="27"/>
      <c r="JR30" s="186"/>
      <c r="JS30" s="187"/>
      <c r="JT30" s="27"/>
      <c r="JU30" s="27"/>
      <c r="JV30" s="27"/>
      <c r="JW30" s="27"/>
      <c r="JX30" s="27"/>
      <c r="JY30" s="27"/>
      <c r="JZ30" s="27"/>
      <c r="KA30" s="27"/>
      <c r="KB30" s="27"/>
      <c r="KC30" s="27"/>
      <c r="KD30" s="27"/>
      <c r="KE30" s="27"/>
      <c r="KF30" s="186"/>
      <c r="KG30" s="187"/>
      <c r="KH30" s="27"/>
      <c r="KI30" s="27"/>
      <c r="KJ30" s="27"/>
      <c r="KK30" s="27"/>
      <c r="KL30" s="27"/>
      <c r="KM30" s="27"/>
    </row>
    <row r="31" spans="1:299" s="153" customFormat="1" x14ac:dyDescent="0.3">
      <c r="A31" s="24">
        <v>27</v>
      </c>
      <c r="B31" s="25" t="s">
        <v>54</v>
      </c>
      <c r="C31" s="26" t="s">
        <v>55</v>
      </c>
      <c r="D31" s="213"/>
      <c r="E31" s="27"/>
      <c r="F31" s="216"/>
      <c r="G31" s="27"/>
      <c r="H31" s="53"/>
      <c r="I31" s="61"/>
      <c r="J31" s="27"/>
      <c r="K31" s="62"/>
      <c r="L31" s="56"/>
      <c r="M31" s="27"/>
      <c r="N31" s="62"/>
      <c r="O31" s="61"/>
      <c r="P31" s="27"/>
      <c r="Q31" s="62"/>
      <c r="R31" s="56"/>
      <c r="S31" s="27"/>
      <c r="T31" s="62"/>
      <c r="U31" s="203"/>
      <c r="V31" s="61"/>
      <c r="W31" s="27"/>
      <c r="X31" s="62"/>
      <c r="Y31" s="61"/>
      <c r="Z31" s="56"/>
      <c r="AA31" s="80"/>
      <c r="AB31" s="61"/>
      <c r="AC31" s="56"/>
      <c r="AD31" s="80"/>
      <c r="AE31" s="56"/>
      <c r="AF31" s="56"/>
      <c r="AG31" s="56"/>
      <c r="AH31" s="27"/>
      <c r="AI31" s="27"/>
      <c r="AJ31" s="27"/>
      <c r="AK31" s="27"/>
      <c r="AL31" s="27"/>
      <c r="AM31" s="27"/>
      <c r="AN31" s="186"/>
      <c r="AO31" s="223"/>
      <c r="AP31" s="187"/>
      <c r="AQ31" s="27"/>
      <c r="AR31" s="27"/>
      <c r="AS31" s="27"/>
      <c r="AT31" s="27"/>
      <c r="AU31" s="27"/>
      <c r="AV31" s="27"/>
      <c r="AW31" s="192"/>
      <c r="AX31" s="193"/>
      <c r="AY31" s="196"/>
      <c r="AZ31" s="192"/>
      <c r="BA31" s="193"/>
      <c r="BB31" s="196"/>
      <c r="BC31" s="27"/>
      <c r="BD31" s="27"/>
      <c r="BE31" s="27"/>
      <c r="BF31" s="27"/>
      <c r="BG31" s="27"/>
      <c r="BH31" s="27"/>
      <c r="BI31" s="228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C31" s="53"/>
      <c r="CD31" s="53"/>
      <c r="CE31" s="61"/>
      <c r="CF31" s="27"/>
      <c r="CG31" s="56"/>
      <c r="CH31" s="27"/>
      <c r="CI31" s="61"/>
      <c r="CJ31" s="27"/>
      <c r="CK31" s="27"/>
      <c r="CL31" s="62"/>
      <c r="CM31" s="61"/>
      <c r="CN31" s="62"/>
      <c r="CO31" s="232"/>
      <c r="CP31" s="233"/>
      <c r="CQ31" s="61"/>
      <c r="CR31" s="56"/>
      <c r="CS31" s="56"/>
      <c r="CT31" s="56"/>
      <c r="CU31" s="27"/>
      <c r="CV31" s="27"/>
      <c r="CW31" s="27"/>
      <c r="CX31" s="27"/>
      <c r="CY31" s="27"/>
      <c r="CZ31" s="27"/>
      <c r="DA31" s="192"/>
      <c r="DB31" s="193"/>
      <c r="DC31" s="192"/>
      <c r="DD31" s="193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130"/>
      <c r="DP31" s="130"/>
      <c r="DQ31" s="192"/>
      <c r="DR31" s="193"/>
      <c r="DS31" s="27"/>
      <c r="DT31" s="27"/>
      <c r="DU31" s="27"/>
      <c r="DV31" s="27"/>
      <c r="DW31" s="192"/>
      <c r="DX31" s="193"/>
      <c r="DY31" s="27"/>
      <c r="DZ31" s="27"/>
      <c r="EA31" s="27"/>
      <c r="EB31" s="27"/>
      <c r="EC31" s="27"/>
      <c r="ED31" s="27"/>
      <c r="EE31" s="192"/>
      <c r="EF31" s="193"/>
      <c r="EG31" s="27"/>
      <c r="EH31" s="27"/>
      <c r="EI31" s="27"/>
      <c r="EJ31" s="27"/>
      <c r="EL31" s="53"/>
      <c r="EM31" s="53"/>
      <c r="EN31" s="192"/>
      <c r="EO31" s="193"/>
      <c r="EP31" s="56"/>
      <c r="EQ31" s="27"/>
      <c r="ER31" s="61"/>
      <c r="ES31" s="27"/>
      <c r="ET31" s="192"/>
      <c r="EU31" s="193"/>
      <c r="EV31" s="61"/>
      <c r="EW31" s="27"/>
      <c r="EX31" s="61"/>
      <c r="EY31" s="27"/>
      <c r="EZ31" s="61"/>
      <c r="FA31" s="27"/>
      <c r="FB31" s="61"/>
      <c r="FC31" s="27"/>
      <c r="FD31" s="27"/>
      <c r="FE31" s="27"/>
      <c r="FF31" s="27"/>
      <c r="FG31" s="27"/>
      <c r="FH31" s="192"/>
      <c r="FI31" s="193"/>
      <c r="FJ31" s="27"/>
      <c r="FK31" s="27"/>
      <c r="FL31" s="27"/>
      <c r="FM31" s="27"/>
      <c r="FN31" s="27"/>
      <c r="FO31" s="27"/>
      <c r="FP31" s="27"/>
      <c r="FQ31" s="27"/>
      <c r="FR31" s="27"/>
      <c r="FS31" s="27"/>
      <c r="FT31" s="192"/>
      <c r="FU31" s="193"/>
      <c r="FV31" s="192"/>
      <c r="FW31" s="193"/>
      <c r="FX31" s="27"/>
      <c r="FY31" s="27"/>
      <c r="FZ31" s="27"/>
      <c r="GA31" s="27"/>
      <c r="GB31" s="27"/>
      <c r="GC31" s="27"/>
      <c r="GD31" s="27"/>
      <c r="GE31" s="27"/>
      <c r="GF31" s="27"/>
      <c r="GG31" s="27"/>
      <c r="GH31" s="27"/>
      <c r="GI31" s="27"/>
      <c r="GJ31" s="192"/>
      <c r="GK31" s="193"/>
      <c r="GL31" s="27"/>
      <c r="GM31" s="27"/>
      <c r="GN31" s="27"/>
      <c r="GO31" s="27"/>
      <c r="GP31" s="27"/>
      <c r="GQ31" s="27"/>
      <c r="GR31" s="27"/>
      <c r="GS31" s="27"/>
      <c r="GT31" s="27"/>
      <c r="GU31" s="27"/>
      <c r="GW31" s="27"/>
      <c r="GX31" s="27"/>
      <c r="GY31" s="192"/>
      <c r="GZ31" s="193"/>
      <c r="HA31" s="192"/>
      <c r="HB31" s="193"/>
      <c r="HC31" s="61"/>
      <c r="HD31" s="27"/>
      <c r="HE31" s="61"/>
      <c r="HF31" s="27"/>
      <c r="HG31" s="192"/>
      <c r="HH31" s="193"/>
      <c r="HI31" s="192"/>
      <c r="HJ31" s="193"/>
      <c r="HK31" s="61"/>
      <c r="HL31" s="27"/>
      <c r="HM31" s="192"/>
      <c r="HN31" s="193"/>
      <c r="HO31" s="27"/>
      <c r="HP31" s="27"/>
      <c r="HQ31" s="27"/>
      <c r="HR31" s="27"/>
      <c r="HS31" s="27"/>
      <c r="HT31" s="27"/>
      <c r="HU31" s="27"/>
      <c r="HV31" s="27"/>
      <c r="HW31" s="27"/>
      <c r="HX31" s="27"/>
      <c r="HY31" s="27"/>
      <c r="HZ31" s="27"/>
      <c r="IA31" s="27"/>
      <c r="IB31" s="27"/>
      <c r="IC31" s="27"/>
      <c r="ID31" s="27"/>
      <c r="IE31" s="27"/>
      <c r="IF31" s="27"/>
      <c r="IG31" s="27"/>
      <c r="IH31" s="27"/>
      <c r="II31" s="27"/>
      <c r="IJ31" s="27"/>
      <c r="IK31" s="192"/>
      <c r="IL31" s="193"/>
      <c r="IM31" s="27"/>
      <c r="IN31" s="27"/>
      <c r="IO31" s="192"/>
      <c r="IP31" s="193"/>
      <c r="IQ31" s="27"/>
      <c r="IR31" s="27"/>
      <c r="IS31" s="27"/>
      <c r="IT31" s="27"/>
      <c r="IU31" s="27"/>
      <c r="IV31" s="27"/>
      <c r="IW31" s="27"/>
      <c r="IX31" s="27"/>
      <c r="IY31" s="27"/>
      <c r="IZ31" s="27"/>
      <c r="JA31" s="27"/>
      <c r="JB31" s="27"/>
      <c r="JC31" s="27"/>
      <c r="JD31" s="27"/>
      <c r="JE31" s="27"/>
      <c r="JF31" s="27"/>
      <c r="JH31" s="27"/>
      <c r="JI31" s="27"/>
      <c r="JJ31" s="27"/>
      <c r="JK31" s="27"/>
      <c r="JL31" s="27"/>
      <c r="JM31" s="27"/>
      <c r="JN31" s="27"/>
      <c r="JO31" s="27"/>
      <c r="JP31" s="27"/>
      <c r="JQ31" s="27"/>
      <c r="JR31" s="186"/>
      <c r="JS31" s="187"/>
      <c r="JT31" s="27"/>
      <c r="JU31" s="27"/>
      <c r="JV31" s="27"/>
      <c r="JW31" s="27"/>
      <c r="JX31" s="27"/>
      <c r="JY31" s="27"/>
      <c r="JZ31" s="27"/>
      <c r="KA31" s="27"/>
      <c r="KB31" s="27"/>
      <c r="KC31" s="27"/>
      <c r="KD31" s="27"/>
      <c r="KE31" s="27"/>
      <c r="KF31" s="186"/>
      <c r="KG31" s="187"/>
      <c r="KH31" s="27"/>
      <c r="KI31" s="27"/>
      <c r="KJ31" s="27"/>
      <c r="KK31" s="27"/>
      <c r="KL31" s="27"/>
      <c r="KM31" s="27"/>
    </row>
    <row r="32" spans="1:299" x14ac:dyDescent="0.3">
      <c r="A32" s="5">
        <v>28</v>
      </c>
      <c r="B32" s="4" t="s">
        <v>56</v>
      </c>
      <c r="C32" s="6" t="s">
        <v>53</v>
      </c>
      <c r="D32" s="213"/>
      <c r="E32" s="14">
        <f>230826.12+71201.24</f>
        <v>302027.36</v>
      </c>
      <c r="F32" s="216"/>
      <c r="G32" s="14">
        <f>231167.12+71218.18</f>
        <v>302385.3</v>
      </c>
      <c r="H32" s="72">
        <f>231280.12+71218.18</f>
        <v>302498.3</v>
      </c>
      <c r="I32" s="45">
        <f>231460.12+73986.12</f>
        <v>305446.24</v>
      </c>
      <c r="J32" s="22">
        <v>0.56510000000000005</v>
      </c>
      <c r="K32" s="60">
        <v>0.36130000000000001</v>
      </c>
      <c r="L32" s="55">
        <f>231829.12+73986.12</f>
        <v>305815.24</v>
      </c>
      <c r="M32" s="22">
        <v>0.56599999999999995</v>
      </c>
      <c r="N32" s="60">
        <v>0.36130000000000001</v>
      </c>
      <c r="O32" s="45">
        <f>177690.88+130176</f>
        <v>307866.88</v>
      </c>
      <c r="P32" s="22">
        <v>0.56620000000000004</v>
      </c>
      <c r="Q32" s="60">
        <v>0.36430000000000001</v>
      </c>
      <c r="R32" s="55">
        <f>232076.12+74607.87</f>
        <v>306683.99</v>
      </c>
      <c r="S32" s="22">
        <v>0.56659999999999999</v>
      </c>
      <c r="T32" s="60">
        <v>0.36430000000000001</v>
      </c>
      <c r="U32" s="203"/>
      <c r="V32" s="45">
        <f>232293+74640.93</f>
        <v>306933.93</v>
      </c>
      <c r="W32" s="22">
        <v>0.56740000000000002</v>
      </c>
      <c r="X32" s="60">
        <v>0.72889999999999999</v>
      </c>
      <c r="Y32" s="45">
        <f>232511.12+74642.8</f>
        <v>307153.91999999998</v>
      </c>
      <c r="Z32" s="77">
        <v>0.56769999999999998</v>
      </c>
      <c r="AA32" s="79">
        <v>0.36449999999999999</v>
      </c>
      <c r="AB32" s="45">
        <f>232820.12+74644.12</f>
        <v>307464.24</v>
      </c>
      <c r="AC32" s="77">
        <v>0.56840000000000002</v>
      </c>
      <c r="AD32" s="79">
        <v>0.36449999999999999</v>
      </c>
      <c r="AE32" s="55">
        <f>232964.12+74644.12</f>
        <v>307608.24</v>
      </c>
      <c r="AF32" s="77">
        <v>0.56879999999999997</v>
      </c>
      <c r="AG32" s="77">
        <v>0.36449999999999999</v>
      </c>
      <c r="AH32" s="14">
        <f>233242.12+74665.55</f>
        <v>307907.67</v>
      </c>
      <c r="AI32" s="22">
        <v>0.56950000000000001</v>
      </c>
      <c r="AJ32" s="22">
        <v>0.36459999999999998</v>
      </c>
      <c r="AK32" s="14">
        <f>233428.12+74666.12</f>
        <v>308094.24</v>
      </c>
      <c r="AL32" s="22">
        <v>0.56989999999999996</v>
      </c>
      <c r="AM32" s="22">
        <v>0.36459999999999998</v>
      </c>
      <c r="AN32" s="186"/>
      <c r="AO32" s="223"/>
      <c r="AP32" s="187"/>
      <c r="AQ32" s="14">
        <f>233649.12+76750.37</f>
        <v>310399.49</v>
      </c>
      <c r="AR32" s="22">
        <v>0.57050000000000001</v>
      </c>
      <c r="AS32" s="22">
        <v>0.37480000000000002</v>
      </c>
      <c r="AT32" s="14">
        <f>233759.12+76750.87</f>
        <v>310509.99</v>
      </c>
      <c r="AU32" s="22">
        <v>0.57069999999999999</v>
      </c>
      <c r="AV32" s="22">
        <v>0.37480000000000002</v>
      </c>
      <c r="AW32" s="192"/>
      <c r="AX32" s="193"/>
      <c r="AY32" s="196"/>
      <c r="AZ32" s="192"/>
      <c r="BA32" s="193"/>
      <c r="BB32" s="196"/>
      <c r="BC32" s="14">
        <f>234379.12+80184.05</f>
        <v>314563.17</v>
      </c>
      <c r="BD32" s="22">
        <v>0.57220000000000004</v>
      </c>
      <c r="BE32" s="22">
        <v>0.3916</v>
      </c>
      <c r="BF32" s="14">
        <f>234559.12+80184.3</f>
        <v>314743.42</v>
      </c>
      <c r="BG32" s="22">
        <v>0.57269999999999999</v>
      </c>
      <c r="BH32" s="22">
        <v>0.3916</v>
      </c>
      <c r="BI32" s="228"/>
      <c r="BJ32" s="14">
        <f>234671.12+80210.24</f>
        <v>314881.36</v>
      </c>
      <c r="BK32" s="22">
        <v>0.57299999999999995</v>
      </c>
      <c r="BL32" s="22">
        <v>0.39169999999999999</v>
      </c>
      <c r="BM32" s="14">
        <f>234833.12+80210.8</f>
        <v>315043.92</v>
      </c>
      <c r="BN32" s="22">
        <v>0.57330000000000003</v>
      </c>
      <c r="BO32" s="22">
        <v>0.39169999999999999</v>
      </c>
      <c r="BP32" s="14">
        <f>234946.12+80873.18</f>
        <v>315819.3</v>
      </c>
      <c r="BQ32" s="22">
        <v>0.5736</v>
      </c>
      <c r="BR32" s="22">
        <v>0.39489999999999997</v>
      </c>
      <c r="BS32" s="14">
        <f>235167.12+80873.18</f>
        <v>316040.3</v>
      </c>
      <c r="BT32" s="22">
        <v>0.57420000000000004</v>
      </c>
      <c r="BU32" s="22">
        <v>0.39489999999999997</v>
      </c>
      <c r="BV32" s="14">
        <f>235358.12+80873.43</f>
        <v>316231.55</v>
      </c>
      <c r="BW32" s="22">
        <v>0.5746</v>
      </c>
      <c r="BX32" s="22">
        <v>0.39489999999999997</v>
      </c>
      <c r="BY32" s="14">
        <f>235510.12+80901.93</f>
        <v>316412.05</v>
      </c>
      <c r="BZ32" s="22">
        <v>0.57499999999999996</v>
      </c>
      <c r="CA32" s="22">
        <v>0.39510000000000001</v>
      </c>
      <c r="CC32" s="72">
        <f>230.3/399.98*100</f>
        <v>57.5778788939447</v>
      </c>
      <c r="CD32" s="72">
        <f>79.01/199.98*100</f>
        <v>39.508950895089512</v>
      </c>
      <c r="CE32" s="72">
        <f>230.46/399.98*100</f>
        <v>57.617880894044703</v>
      </c>
      <c r="CF32" s="72">
        <f>79.01/199.98*100</f>
        <v>39.508950895089512</v>
      </c>
      <c r="CG32" s="72">
        <f>230.59/399.98*100</f>
        <v>57.650382519125955</v>
      </c>
      <c r="CH32" s="72">
        <f>79.01/199.98*100</f>
        <v>39.508950895089512</v>
      </c>
      <c r="CI32" s="72">
        <f>230.84/399.98*100</f>
        <v>57.71288564428221</v>
      </c>
      <c r="CJ32" s="72">
        <f>79.01/199.98*100</f>
        <v>39.508950895089512</v>
      </c>
      <c r="CK32" s="72">
        <f>230.97/399.98*100</f>
        <v>57.745387269363469</v>
      </c>
      <c r="CL32" s="72">
        <f>79.06/199.98*100</f>
        <v>39.533953395339537</v>
      </c>
      <c r="CM32" s="72">
        <f>231.16/399.98*100</f>
        <v>57.792889644482223</v>
      </c>
      <c r="CN32" s="72">
        <f>79.06/199.98*100</f>
        <v>39.533953395339537</v>
      </c>
      <c r="CO32" s="232"/>
      <c r="CP32" s="233"/>
      <c r="CQ32" s="72">
        <f>231.18/399.98*100</f>
        <v>57.797889894494723</v>
      </c>
      <c r="CR32" s="72">
        <f>79.06/199.98*100</f>
        <v>39.533953395339537</v>
      </c>
      <c r="CS32" s="72">
        <f>231.35/399.98*100</f>
        <v>57.840392019600969</v>
      </c>
      <c r="CT32" s="72">
        <f>79.06/199.98*100</f>
        <v>39.533953395339537</v>
      </c>
      <c r="CU32" s="72">
        <f>231.53/399.98*100</f>
        <v>57.885394269713487</v>
      </c>
      <c r="CV32" s="72">
        <f>81.29/199.98*100</f>
        <v>40.649064906490658</v>
      </c>
      <c r="CW32" s="72">
        <f>231.8/399.98*100</f>
        <v>57.952897644882242</v>
      </c>
      <c r="CX32" s="72">
        <f>81.33/199.98*100</f>
        <v>40.669066906690674</v>
      </c>
      <c r="CY32" s="72">
        <f>231.84/399.98*100</f>
        <v>57.96289814490725</v>
      </c>
      <c r="CZ32" s="72">
        <f>81.33/199.98*100</f>
        <v>40.669066906690674</v>
      </c>
      <c r="DA32" s="192"/>
      <c r="DB32" s="193"/>
      <c r="DC32" s="192"/>
      <c r="DD32" s="193"/>
      <c r="DE32" s="72">
        <f>232.28/399.98*100</f>
        <v>58.072903645182258</v>
      </c>
      <c r="DF32" s="72">
        <f>84.6/199.98*100</f>
        <v>42.304230423042306</v>
      </c>
      <c r="DG32" s="72">
        <f>232.43/399.98*100</f>
        <v>58.110405520276011</v>
      </c>
      <c r="DH32" s="72">
        <f>85.31/199.98*100</f>
        <v>42.65926592659266</v>
      </c>
      <c r="DI32" s="72">
        <f>232.61/399.98*100</f>
        <v>58.155407770388521</v>
      </c>
      <c r="DJ32" s="72">
        <f>85.31/199.98*100</f>
        <v>42.65926592659266</v>
      </c>
      <c r="DK32" s="72">
        <f>232.68/399.98*100</f>
        <v>58.172908645432273</v>
      </c>
      <c r="DL32" s="72">
        <f>85.36/199.98*100</f>
        <v>42.684268426842685</v>
      </c>
      <c r="DM32" s="72">
        <f>232.9/399.98*100</f>
        <v>58.227911395569777</v>
      </c>
      <c r="DN32" s="72">
        <f>85.37/199.98*100</f>
        <v>42.689268926892694</v>
      </c>
      <c r="DO32" s="129">
        <f>233.06/399.98*100</f>
        <v>58.26791339566978</v>
      </c>
      <c r="DP32" s="129">
        <f>85.75/199.98*100</f>
        <v>42.879287928792884</v>
      </c>
      <c r="DQ32" s="192"/>
      <c r="DR32" s="193"/>
      <c r="DS32" s="129">
        <f>233.19/399.98*100</f>
        <v>58.300415020751039</v>
      </c>
      <c r="DT32" s="129">
        <f>85.75/199.98*100</f>
        <v>42.879287928792884</v>
      </c>
      <c r="DU32" s="129">
        <f>233.19/399.98*100</f>
        <v>58.300415020751039</v>
      </c>
      <c r="DV32" s="129">
        <f>85.75/199.98*100</f>
        <v>42.879287928792884</v>
      </c>
      <c r="DW32" s="192"/>
      <c r="DX32" s="193"/>
      <c r="DY32" s="129">
        <f>233.66/399.99*100</f>
        <v>58.416460411510286</v>
      </c>
      <c r="DZ32" s="129">
        <f>85.75/199.98*100</f>
        <v>42.879287928792884</v>
      </c>
      <c r="EA32" s="129">
        <f>116.51/399.99*100</f>
        <v>29.128228205705142</v>
      </c>
      <c r="EB32" s="129">
        <f>120.41/199.98*100</f>
        <v>60.211021102110209</v>
      </c>
      <c r="EC32" s="129">
        <f>233.88/399.99*100</f>
        <v>58.471461786544666</v>
      </c>
      <c r="ED32" s="129">
        <f>85.79/199.98*100</f>
        <v>42.899289928992907</v>
      </c>
      <c r="EE32" s="192"/>
      <c r="EF32" s="193"/>
      <c r="EG32" s="14"/>
      <c r="EH32" s="22"/>
      <c r="EI32" s="129">
        <f>234.25/399.99*100</f>
        <v>58.563964099102471</v>
      </c>
      <c r="EJ32" s="129">
        <f>85.86/199.98*100</f>
        <v>42.934293429342937</v>
      </c>
      <c r="EL32" s="72"/>
      <c r="EM32" s="72"/>
      <c r="EN32" s="192"/>
      <c r="EO32" s="193"/>
      <c r="EP32" s="129">
        <f>234.59/399.99*100</f>
        <v>58.648966224155608</v>
      </c>
      <c r="EQ32" s="129">
        <f>85.86/199.98*100</f>
        <v>42.934293429342937</v>
      </c>
      <c r="ER32" s="129">
        <f>234.74/399.99*100</f>
        <v>58.686467161679047</v>
      </c>
      <c r="ES32" s="129">
        <f>85.86/199.98*100</f>
        <v>42.934293429342937</v>
      </c>
      <c r="ET32" s="192"/>
      <c r="EU32" s="193"/>
      <c r="EV32" s="129">
        <f>234.96/399.99*100</f>
        <v>58.741468536713413</v>
      </c>
      <c r="EW32" s="129">
        <f>88.36/199.98*100</f>
        <v>44.184418441844187</v>
      </c>
      <c r="EX32" s="129">
        <f>235.1/399.99*100</f>
        <v>58.776469411735292</v>
      </c>
      <c r="EY32" s="129">
        <f>88.38/199.98*100</f>
        <v>44.194419441944191</v>
      </c>
      <c r="EZ32" s="129">
        <f>235.26/399.99*100</f>
        <v>58.816470411760292</v>
      </c>
      <c r="FA32" s="129">
        <f>89.17/199.98*100</f>
        <v>44.589458945894592</v>
      </c>
      <c r="FB32" s="129">
        <v>58.86</v>
      </c>
      <c r="FC32" s="129">
        <v>44.59</v>
      </c>
      <c r="FD32" s="72">
        <v>58.89</v>
      </c>
      <c r="FE32" s="72">
        <v>44.59</v>
      </c>
      <c r="FF32" s="72">
        <v>58.92</v>
      </c>
      <c r="FG32" s="72">
        <v>46.39</v>
      </c>
      <c r="FH32" s="192"/>
      <c r="FI32" s="193"/>
      <c r="FJ32" s="72">
        <v>58.96</v>
      </c>
      <c r="FK32" s="72">
        <v>46.4</v>
      </c>
      <c r="FL32" s="72">
        <v>59</v>
      </c>
      <c r="FM32" s="72">
        <v>46.4</v>
      </c>
      <c r="FN32" s="72">
        <v>59.05</v>
      </c>
      <c r="FO32" s="72">
        <v>46.42</v>
      </c>
      <c r="FP32" s="72">
        <v>59.08</v>
      </c>
      <c r="FQ32" s="72">
        <v>46.42</v>
      </c>
      <c r="FR32" s="72">
        <v>59.11</v>
      </c>
      <c r="FS32" s="72">
        <v>46.45</v>
      </c>
      <c r="FT32" s="192"/>
      <c r="FU32" s="193"/>
      <c r="FV32" s="192"/>
      <c r="FW32" s="193"/>
      <c r="FX32" s="72">
        <v>59.11</v>
      </c>
      <c r="FY32" s="72">
        <v>46.65</v>
      </c>
      <c r="FZ32" s="72">
        <v>59.22</v>
      </c>
      <c r="GA32" s="72">
        <v>46.65</v>
      </c>
      <c r="GB32" s="72">
        <v>59.26</v>
      </c>
      <c r="GC32" s="72">
        <v>46.65</v>
      </c>
      <c r="GD32" s="72">
        <v>59.28</v>
      </c>
      <c r="GE32" s="72">
        <v>46.65</v>
      </c>
      <c r="GF32" s="72">
        <v>59.3</v>
      </c>
      <c r="GG32" s="72">
        <v>46.65</v>
      </c>
      <c r="GH32" s="129"/>
      <c r="GI32" s="129"/>
      <c r="GJ32" s="192"/>
      <c r="GK32" s="193"/>
      <c r="GL32" s="129">
        <v>59.41</v>
      </c>
      <c r="GM32" s="129">
        <v>46.69</v>
      </c>
      <c r="GN32" s="129">
        <v>59.44</v>
      </c>
      <c r="GO32" s="129">
        <v>46.69</v>
      </c>
      <c r="GP32" s="14">
        <v>59.47</v>
      </c>
      <c r="GQ32" s="14">
        <v>46.69</v>
      </c>
      <c r="GR32" s="14">
        <v>59.47</v>
      </c>
      <c r="GS32" s="14">
        <v>46.69</v>
      </c>
      <c r="GT32" s="14">
        <v>59.55</v>
      </c>
      <c r="GU32" s="14">
        <v>46.7</v>
      </c>
      <c r="GW32" s="14">
        <v>59.55</v>
      </c>
      <c r="GX32" s="14">
        <v>46.7</v>
      </c>
      <c r="GY32" s="192"/>
      <c r="GZ32" s="193"/>
      <c r="HA32" s="192"/>
      <c r="HB32" s="193"/>
      <c r="HC32" s="129">
        <v>59.64</v>
      </c>
      <c r="HD32" s="129">
        <v>47.13</v>
      </c>
      <c r="HE32" s="129"/>
      <c r="HF32" s="129"/>
      <c r="HG32" s="192"/>
      <c r="HH32" s="193"/>
      <c r="HI32" s="192"/>
      <c r="HJ32" s="193"/>
      <c r="HK32" s="129">
        <v>59.79</v>
      </c>
      <c r="HL32" s="129">
        <v>47.16</v>
      </c>
      <c r="HM32" s="192"/>
      <c r="HN32" s="193"/>
      <c r="HO32" s="72">
        <v>59.9</v>
      </c>
      <c r="HP32" s="72">
        <v>49.14</v>
      </c>
      <c r="HQ32" s="72">
        <v>59.9</v>
      </c>
      <c r="HR32" s="72">
        <v>49.14</v>
      </c>
      <c r="HS32" s="72">
        <v>59.94</v>
      </c>
      <c r="HT32" s="72">
        <v>49.14</v>
      </c>
      <c r="HU32" s="72">
        <v>59.99</v>
      </c>
      <c r="HV32" s="72">
        <v>49.14</v>
      </c>
      <c r="HW32" s="72">
        <v>59.99</v>
      </c>
      <c r="HX32" s="72">
        <v>49.14</v>
      </c>
      <c r="HY32" s="72"/>
      <c r="HZ32" s="72"/>
      <c r="IA32" s="72"/>
      <c r="IB32" s="72"/>
      <c r="IC32" s="72"/>
      <c r="ID32" s="72"/>
      <c r="IE32" s="72"/>
      <c r="IF32" s="72"/>
      <c r="IG32" s="72"/>
      <c r="IH32" s="72"/>
      <c r="II32" s="72"/>
      <c r="IJ32" s="72"/>
      <c r="IK32" s="192"/>
      <c r="IL32" s="193"/>
      <c r="IM32" s="72"/>
      <c r="IN32" s="72"/>
      <c r="IO32" s="192"/>
      <c r="IP32" s="193"/>
      <c r="IQ32" s="72">
        <v>60.36</v>
      </c>
      <c r="IR32" s="72">
        <v>49.51</v>
      </c>
      <c r="IS32" s="72">
        <v>60.36</v>
      </c>
      <c r="IT32" s="72">
        <v>49.51</v>
      </c>
      <c r="IU32" s="72">
        <v>60.36</v>
      </c>
      <c r="IV32" s="72">
        <v>49.51</v>
      </c>
      <c r="IW32" s="129"/>
      <c r="IX32" s="129"/>
      <c r="IY32" s="129"/>
      <c r="IZ32" s="129"/>
      <c r="JA32" s="129"/>
      <c r="JB32" s="129"/>
      <c r="JC32" s="129"/>
      <c r="JD32" s="129"/>
      <c r="JE32" s="129"/>
      <c r="JF32" s="129"/>
      <c r="JH32" s="129"/>
      <c r="JI32" s="129"/>
      <c r="JJ32" s="129"/>
      <c r="JK32" s="129"/>
      <c r="JL32" s="129"/>
      <c r="JM32" s="129"/>
      <c r="JN32" s="129"/>
      <c r="JO32" s="129"/>
      <c r="JP32" s="129">
        <v>60.82</v>
      </c>
      <c r="JQ32" s="129">
        <v>50.01</v>
      </c>
      <c r="JR32" s="186"/>
      <c r="JS32" s="187"/>
      <c r="JT32" s="129">
        <v>60.82</v>
      </c>
      <c r="JU32" s="129">
        <v>50.01</v>
      </c>
      <c r="JV32" s="129"/>
      <c r="JW32" s="129"/>
      <c r="JX32" s="129"/>
      <c r="JY32" s="129"/>
      <c r="JZ32" s="129"/>
      <c r="KA32" s="129"/>
      <c r="KB32" s="129"/>
      <c r="KC32" s="129"/>
      <c r="KD32" s="129"/>
      <c r="KE32" s="129"/>
      <c r="KF32" s="186"/>
      <c r="KG32" s="187"/>
      <c r="KH32" s="129"/>
      <c r="KI32" s="129"/>
      <c r="KJ32" s="129"/>
      <c r="KK32" s="129"/>
      <c r="KL32" s="129"/>
      <c r="KM32" s="129"/>
    </row>
    <row r="33" spans="1:299" x14ac:dyDescent="0.3">
      <c r="A33" s="24">
        <v>29</v>
      </c>
      <c r="B33" s="25" t="s">
        <v>36</v>
      </c>
      <c r="C33" s="26" t="s">
        <v>47</v>
      </c>
      <c r="D33" s="213"/>
      <c r="E33" s="27">
        <f>63806.82+32419.39</f>
        <v>96226.209999999992</v>
      </c>
      <c r="F33" s="216"/>
      <c r="G33" s="27">
        <f>63911.82+33554.73</f>
        <v>97466.55</v>
      </c>
      <c r="H33" s="53">
        <f>63918.82+34229.93</f>
        <v>98148.75</v>
      </c>
      <c r="I33" s="61">
        <f>64146.82+34304.75</f>
        <v>98451.57</v>
      </c>
      <c r="J33" s="94">
        <v>0.62639999999999996</v>
      </c>
      <c r="K33" s="95">
        <v>0.33510000000000001</v>
      </c>
      <c r="L33" s="56">
        <f>64362.82+34004</f>
        <v>98366.82</v>
      </c>
      <c r="M33" s="94">
        <v>0.62870000000000004</v>
      </c>
      <c r="N33" s="95">
        <v>0.33210000000000001</v>
      </c>
      <c r="O33" s="61">
        <f>64380.82+34539.89</f>
        <v>98920.709999999992</v>
      </c>
      <c r="P33" s="94">
        <v>0.62880000000000003</v>
      </c>
      <c r="Q33" s="95">
        <v>0.33739999999999998</v>
      </c>
      <c r="R33" s="56">
        <f>64512.82+34558.22</f>
        <v>99071.040000000008</v>
      </c>
      <c r="S33" s="94">
        <v>0.63009999999999999</v>
      </c>
      <c r="T33" s="95">
        <v>0.33750000000000002</v>
      </c>
      <c r="U33" s="203"/>
      <c r="V33" s="61">
        <f>64647.82+33903.89</f>
        <v>98551.709999999992</v>
      </c>
      <c r="W33" s="94">
        <v>0.63139999999999996</v>
      </c>
      <c r="X33" s="95">
        <v>0.33119999999999999</v>
      </c>
      <c r="Y33" s="61">
        <f>64693.82+32518.04</f>
        <v>97211.86</v>
      </c>
      <c r="Z33" s="92">
        <v>0.63190000000000002</v>
      </c>
      <c r="AA33" s="96">
        <v>0.31759999999999999</v>
      </c>
      <c r="AB33" s="61">
        <f>64937.82+37742.46</f>
        <v>102680.28</v>
      </c>
      <c r="AC33" s="92">
        <v>0.63429999999999997</v>
      </c>
      <c r="AD33" s="96">
        <v>0.36859999999999998</v>
      </c>
      <c r="AE33" s="56">
        <f>65024.82+38591.38</f>
        <v>103616.2</v>
      </c>
      <c r="AF33" s="92">
        <v>0.6351</v>
      </c>
      <c r="AG33" s="92">
        <v>0.37690000000000001</v>
      </c>
      <c r="AH33" s="27">
        <f>65235.82+37808.52</f>
        <v>103044.34</v>
      </c>
      <c r="AI33" s="94">
        <v>0.63719999999999999</v>
      </c>
      <c r="AJ33" s="94">
        <v>0.36930000000000002</v>
      </c>
      <c r="AK33" s="27">
        <f>65388.82+38639.2</f>
        <v>104028.01999999999</v>
      </c>
      <c r="AL33" s="94">
        <v>0.63870000000000005</v>
      </c>
      <c r="AM33" s="94">
        <v>0.37740000000000001</v>
      </c>
      <c r="AN33" s="186"/>
      <c r="AO33" s="223"/>
      <c r="AP33" s="187"/>
      <c r="AQ33" s="27"/>
      <c r="AR33" s="27"/>
      <c r="AS33" s="27"/>
      <c r="AT33" s="27"/>
      <c r="AU33" s="27"/>
      <c r="AV33" s="27"/>
      <c r="AW33" s="192"/>
      <c r="AX33" s="193"/>
      <c r="AY33" s="196"/>
      <c r="AZ33" s="192"/>
      <c r="BA33" s="193"/>
      <c r="BB33" s="196"/>
      <c r="BC33" s="27"/>
      <c r="BD33" s="27"/>
      <c r="BE33" s="27"/>
      <c r="BF33" s="27"/>
      <c r="BG33" s="27"/>
      <c r="BH33" s="27"/>
      <c r="BI33" s="228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C33" s="53"/>
      <c r="CD33" s="53"/>
      <c r="CE33" s="61"/>
      <c r="CF33" s="94"/>
      <c r="CG33" s="56"/>
      <c r="CH33" s="94"/>
      <c r="CI33" s="61"/>
      <c r="CJ33" s="94"/>
      <c r="CK33" s="53">
        <f>213.71/299.94*100</f>
        <v>71.250916850036674</v>
      </c>
      <c r="CL33" s="53">
        <f>82.2/199.98*100</f>
        <v>41.104110411041106</v>
      </c>
      <c r="CM33" s="53">
        <f>214.05/299.94*100</f>
        <v>71.364272854570913</v>
      </c>
      <c r="CN33" s="53">
        <f>102.9/199.98*100</f>
        <v>51.455145514551461</v>
      </c>
      <c r="CO33" s="232"/>
      <c r="CP33" s="233"/>
      <c r="CQ33" s="53">
        <f>214.21/299.94*100</f>
        <v>71.417616856704683</v>
      </c>
      <c r="CR33" s="53">
        <f>104.34/199.98*100</f>
        <v>52.175217521752181</v>
      </c>
      <c r="CS33" s="53">
        <f>214.4/299.94*100</f>
        <v>71.480962859238517</v>
      </c>
      <c r="CT33" s="53">
        <f>105.4/199.98*100</f>
        <v>52.705270527052704</v>
      </c>
      <c r="CU33" s="53">
        <f>214.72/299.94*100</f>
        <v>71.587650863506042</v>
      </c>
      <c r="CV33" s="53">
        <f>106.65/199.98*100</f>
        <v>53.330333033303333</v>
      </c>
      <c r="CW33" s="53">
        <f>215.03/299.94*100</f>
        <v>71.691004867640203</v>
      </c>
      <c r="CX33" s="53">
        <f>108.09/199.98*100</f>
        <v>54.05040504050406</v>
      </c>
      <c r="CY33" s="53">
        <f>215.14/299.94*100</f>
        <v>71.727678869107152</v>
      </c>
      <c r="CZ33" s="53">
        <f>108.78/199.98*100</f>
        <v>54.395439543954396</v>
      </c>
      <c r="DA33" s="192"/>
      <c r="DB33" s="193"/>
      <c r="DC33" s="192"/>
      <c r="DD33" s="193"/>
      <c r="DE33" s="53">
        <f>215.88/299.94*100</f>
        <v>71.974394878975787</v>
      </c>
      <c r="DF33" s="53">
        <f>111.84/199.98*100</f>
        <v>55.925592559255932</v>
      </c>
      <c r="DG33" s="53">
        <f>216.18/299.94*100</f>
        <v>72.074414882976598</v>
      </c>
      <c r="DH33" s="53">
        <f>113.03/199.98*100</f>
        <v>56.520652065206519</v>
      </c>
      <c r="DI33" s="53">
        <f>216.39/299.94*100</f>
        <v>72.14442888577716</v>
      </c>
      <c r="DJ33" s="53">
        <f>114.46/199.98*100</f>
        <v>57.23572357235723</v>
      </c>
      <c r="DK33" s="53">
        <f>180.81/299.94*100</f>
        <v>60.282056411282255</v>
      </c>
      <c r="DL33" s="53">
        <f>69.93/199.98*100</f>
        <v>34.968496849684968</v>
      </c>
      <c r="DM33" s="53">
        <f>181.01/299.94*100</f>
        <v>60.348736413949453</v>
      </c>
      <c r="DN33" s="53">
        <f>71.12/199.98*100</f>
        <v>35.563556355635569</v>
      </c>
      <c r="DO33" s="128">
        <f>181.28/299.94*100</f>
        <v>60.438754417550179</v>
      </c>
      <c r="DP33" s="128">
        <f>72.18/199.98*100</f>
        <v>36.0936093609361</v>
      </c>
      <c r="DQ33" s="192"/>
      <c r="DR33" s="193"/>
      <c r="DS33" s="128">
        <f>181.57/299.94*100</f>
        <v>60.535440421417618</v>
      </c>
      <c r="DT33" s="128">
        <f>74.62/199.98*100</f>
        <v>37.313731373137315</v>
      </c>
      <c r="DU33" s="128">
        <f>181.57/299.94*100</f>
        <v>60.535440421417618</v>
      </c>
      <c r="DV33" s="128">
        <f>74.62/199.98*100</f>
        <v>37.313731373137315</v>
      </c>
      <c r="DW33" s="192"/>
      <c r="DX33" s="193"/>
      <c r="DY33" s="128">
        <f>182.09/299.94*100</f>
        <v>60.708808428352334</v>
      </c>
      <c r="DZ33" s="128">
        <f>77.73/199.98*100</f>
        <v>38.868886888688877</v>
      </c>
      <c r="EA33" s="128">
        <f>182.24/299.94*100</f>
        <v>60.758818430352747</v>
      </c>
      <c r="EB33" s="128">
        <f>78.79/199.98*100</f>
        <v>39.398939893989407</v>
      </c>
      <c r="EC33" s="128">
        <f>182.45/299.94*100</f>
        <v>60.828832433153288</v>
      </c>
      <c r="ED33" s="128">
        <f>78.73/199.98*100</f>
        <v>39.368936893689373</v>
      </c>
      <c r="EE33" s="192"/>
      <c r="EF33" s="193"/>
      <c r="EG33" s="27"/>
      <c r="EH33" s="27"/>
      <c r="EI33" s="128">
        <f>182.9/299.94*100</f>
        <v>60.978862439154504</v>
      </c>
      <c r="EJ33" s="128">
        <f>41.49/199.98*100</f>
        <v>20.747074707470752</v>
      </c>
      <c r="EL33" s="53"/>
      <c r="EM33" s="53"/>
      <c r="EN33" s="192"/>
      <c r="EO33" s="193"/>
      <c r="EP33" s="128">
        <f>183.63/299.94*100</f>
        <v>61.222244448889775</v>
      </c>
      <c r="EQ33" s="128">
        <f>88.1/199.98*100</f>
        <v>44.054405440544052</v>
      </c>
      <c r="ER33" s="128">
        <f>183.75/299.94*100</f>
        <v>61.262252450490095</v>
      </c>
      <c r="ES33" s="128">
        <f>89.17/199.98*100</f>
        <v>44.589458945894592</v>
      </c>
      <c r="ET33" s="192"/>
      <c r="EU33" s="193"/>
      <c r="EV33" s="128">
        <f>183.75/299.94*100</f>
        <v>61.262252450490095</v>
      </c>
      <c r="EW33" s="128">
        <f>89.17/199.98*100</f>
        <v>44.589458945894592</v>
      </c>
      <c r="EX33" s="128">
        <f>184.15/299.94*100</f>
        <v>61.395612455824498</v>
      </c>
      <c r="EY33" s="128">
        <f>92.29/199.98*100</f>
        <v>46.149614961496155</v>
      </c>
      <c r="EZ33" s="128">
        <f>184.34/299.94*100</f>
        <v>61.458958458358339</v>
      </c>
      <c r="FA33" s="128">
        <f>93.48/199.98*100</f>
        <v>46.74467446744675</v>
      </c>
      <c r="FB33" s="128">
        <v>61.49</v>
      </c>
      <c r="FC33" s="128">
        <v>47.34</v>
      </c>
      <c r="FD33" s="128">
        <v>61.59</v>
      </c>
      <c r="FE33" s="128">
        <v>47.93</v>
      </c>
      <c r="FF33" s="128">
        <v>61.59</v>
      </c>
      <c r="FG33" s="128">
        <v>47.93</v>
      </c>
      <c r="FH33" s="192"/>
      <c r="FI33" s="193"/>
      <c r="FJ33" s="128">
        <v>61.85</v>
      </c>
      <c r="FK33" s="128">
        <v>49.99</v>
      </c>
      <c r="FL33" s="128">
        <v>62</v>
      </c>
      <c r="FM33" s="128">
        <v>50.62</v>
      </c>
      <c r="FN33" s="128">
        <v>62.06</v>
      </c>
      <c r="FO33" s="128">
        <v>51.21</v>
      </c>
      <c r="FP33" s="128">
        <v>63.18</v>
      </c>
      <c r="FQ33" s="128">
        <v>52.27</v>
      </c>
      <c r="FR33" s="128">
        <v>63.33</v>
      </c>
      <c r="FS33" s="128">
        <v>53.84</v>
      </c>
      <c r="FT33" s="192"/>
      <c r="FU33" s="193"/>
      <c r="FV33" s="192"/>
      <c r="FW33" s="193"/>
      <c r="FX33" s="128">
        <v>63.57</v>
      </c>
      <c r="FY33" s="128">
        <v>55.96</v>
      </c>
      <c r="FZ33" s="128">
        <v>63.66</v>
      </c>
      <c r="GA33" s="128">
        <v>56.31</v>
      </c>
      <c r="GB33" s="128">
        <v>63.66</v>
      </c>
      <c r="GC33" s="128">
        <v>56.31</v>
      </c>
      <c r="GD33" s="128">
        <v>63.78</v>
      </c>
      <c r="GE33" s="128">
        <v>57.21</v>
      </c>
      <c r="GF33" s="128">
        <v>63.86</v>
      </c>
      <c r="GG33" s="128">
        <v>57.99</v>
      </c>
      <c r="GH33" s="128"/>
      <c r="GI33" s="128"/>
      <c r="GJ33" s="192"/>
      <c r="GK33" s="193"/>
      <c r="GL33" s="128">
        <v>64.680000000000007</v>
      </c>
      <c r="GM33" s="128">
        <v>80.900000000000006</v>
      </c>
      <c r="GN33" s="128">
        <v>64.75</v>
      </c>
      <c r="GO33" s="128">
        <v>81.739999999999995</v>
      </c>
      <c r="GP33" s="27">
        <v>64.849999999999994</v>
      </c>
      <c r="GQ33" s="27">
        <v>83.24</v>
      </c>
      <c r="GR33" s="27">
        <v>64.849999999999994</v>
      </c>
      <c r="GS33" s="27">
        <v>83.24</v>
      </c>
      <c r="GT33" s="27">
        <v>64.89</v>
      </c>
      <c r="GU33" s="27">
        <v>84.12</v>
      </c>
      <c r="GW33" s="27">
        <v>64.89</v>
      </c>
      <c r="GX33" s="27">
        <v>84.12</v>
      </c>
      <c r="GY33" s="192"/>
      <c r="GZ33" s="193"/>
      <c r="HA33" s="192"/>
      <c r="HB33" s="193"/>
      <c r="HC33" s="128">
        <v>65.099999999999994</v>
      </c>
      <c r="HD33" s="128">
        <v>87.24</v>
      </c>
      <c r="HE33" s="128"/>
      <c r="HF33" s="128"/>
      <c r="HG33" s="192"/>
      <c r="HH33" s="193"/>
      <c r="HI33" s="192"/>
      <c r="HJ33" s="193"/>
      <c r="HK33" s="128">
        <v>65.31</v>
      </c>
      <c r="HL33" s="128">
        <v>90.18</v>
      </c>
      <c r="HM33" s="192"/>
      <c r="HN33" s="193"/>
      <c r="HO33" s="128">
        <v>65.5</v>
      </c>
      <c r="HP33" s="128">
        <v>16.899999999999999</v>
      </c>
      <c r="HQ33" s="128">
        <v>65.5</v>
      </c>
      <c r="HR33" s="128">
        <v>16.899999999999999</v>
      </c>
      <c r="HS33" s="128"/>
      <c r="HT33" s="128"/>
      <c r="HU33" s="128">
        <v>65.66</v>
      </c>
      <c r="HV33" s="128">
        <v>22.71</v>
      </c>
      <c r="HW33" s="128">
        <v>65.66</v>
      </c>
      <c r="HX33" s="128">
        <v>22.71</v>
      </c>
      <c r="HY33" s="128"/>
      <c r="HZ33" s="128"/>
      <c r="IA33" s="128"/>
      <c r="IB33" s="128"/>
      <c r="IC33" s="128"/>
      <c r="ID33" s="128"/>
      <c r="IE33" s="128"/>
      <c r="IF33" s="128"/>
      <c r="IG33" s="128"/>
      <c r="IH33" s="128"/>
      <c r="II33" s="128"/>
      <c r="IJ33" s="128"/>
      <c r="IK33" s="192"/>
      <c r="IL33" s="193"/>
      <c r="IM33" s="128"/>
      <c r="IN33" s="128"/>
      <c r="IO33" s="192"/>
      <c r="IP33" s="193"/>
      <c r="IQ33" s="128"/>
      <c r="IR33" s="128"/>
      <c r="IS33" s="128"/>
      <c r="IT33" s="128"/>
      <c r="IU33" s="128"/>
      <c r="IV33" s="128"/>
      <c r="IW33" s="128"/>
      <c r="IX33" s="128"/>
      <c r="IY33" s="128"/>
      <c r="IZ33" s="128"/>
      <c r="JA33" s="128"/>
      <c r="JB33" s="128"/>
      <c r="JC33" s="128"/>
      <c r="JD33" s="128"/>
      <c r="JE33" s="128"/>
      <c r="JF33" s="128"/>
      <c r="JH33" s="128">
        <v>68.239999999999995</v>
      </c>
      <c r="JI33" s="128">
        <v>49.45</v>
      </c>
      <c r="JJ33" s="128">
        <v>68.239999999999995</v>
      </c>
      <c r="JK33" s="128">
        <v>49.45</v>
      </c>
      <c r="JL33" s="128">
        <v>68.239999999999995</v>
      </c>
      <c r="JM33" s="128">
        <v>49.45</v>
      </c>
      <c r="JN33" s="128">
        <v>68.239999999999995</v>
      </c>
      <c r="JO33" s="128">
        <v>49.45</v>
      </c>
      <c r="JP33" s="128"/>
      <c r="JQ33" s="128"/>
      <c r="JR33" s="186"/>
      <c r="JS33" s="187"/>
      <c r="JT33" s="128"/>
      <c r="JU33" s="128"/>
      <c r="JV33" s="128"/>
      <c r="JW33" s="128"/>
      <c r="JX33" s="128"/>
      <c r="JY33" s="128"/>
      <c r="JZ33" s="128"/>
      <c r="KA33" s="128"/>
      <c r="KB33" s="128"/>
      <c r="KC33" s="128"/>
      <c r="KD33" s="128"/>
      <c r="KE33" s="128"/>
      <c r="KF33" s="186"/>
      <c r="KG33" s="187"/>
      <c r="KH33" s="128"/>
      <c r="KI33" s="128"/>
      <c r="KJ33" s="128"/>
      <c r="KK33" s="128"/>
      <c r="KL33" s="128"/>
      <c r="KM33" s="128"/>
    </row>
    <row r="34" spans="1:299" s="153" customFormat="1" x14ac:dyDescent="0.3">
      <c r="A34" s="24">
        <v>30</v>
      </c>
      <c r="B34" s="25" t="s">
        <v>37</v>
      </c>
      <c r="C34" s="26" t="s">
        <v>47</v>
      </c>
      <c r="D34" s="213"/>
      <c r="E34" s="27">
        <f>119306.61+121803.04</f>
        <v>241109.65</v>
      </c>
      <c r="F34" s="216"/>
      <c r="G34" s="27">
        <f>119612.61+122445.14</f>
        <v>242057.75</v>
      </c>
      <c r="H34" s="53">
        <f>119306.61+121655.14</f>
        <v>240961.75</v>
      </c>
      <c r="I34" s="61">
        <f>119306.61+121503.94</f>
        <v>240810.55</v>
      </c>
      <c r="J34" s="94">
        <v>0.23200000000000001</v>
      </c>
      <c r="K34" s="95">
        <v>0.39550000000000002</v>
      </c>
      <c r="L34" s="56">
        <f>119306.61+125114.43</f>
        <v>244421.03999999998</v>
      </c>
      <c r="M34" s="94">
        <v>0.23300000000000001</v>
      </c>
      <c r="N34" s="95">
        <v>0.4073</v>
      </c>
      <c r="O34" s="61">
        <f>119306.61+126168.42</f>
        <v>245475.03</v>
      </c>
      <c r="P34" s="94">
        <v>0.23200000000000001</v>
      </c>
      <c r="Q34" s="95">
        <v>0.41070000000000001</v>
      </c>
      <c r="R34" s="56">
        <f>119306.61+121616.13</f>
        <v>240922.74</v>
      </c>
      <c r="S34" s="94">
        <v>0.23300000000000001</v>
      </c>
      <c r="T34" s="95">
        <v>0.39589999999999997</v>
      </c>
      <c r="U34" s="203"/>
      <c r="V34" s="61">
        <f>119306.61+121998.07</f>
        <v>241304.68</v>
      </c>
      <c r="W34" s="94">
        <v>0.23300000000000001</v>
      </c>
      <c r="X34" s="95">
        <v>0.3972</v>
      </c>
      <c r="Y34" s="61">
        <f>119306.61+111512.95</f>
        <v>230819.56</v>
      </c>
      <c r="Z34" s="92">
        <v>0.23300000000000001</v>
      </c>
      <c r="AA34" s="96">
        <v>0.36299999999999999</v>
      </c>
      <c r="AB34" s="61">
        <f>119306.61+111903.97</f>
        <v>231210.58000000002</v>
      </c>
      <c r="AC34" s="92">
        <v>0.23300000000000001</v>
      </c>
      <c r="AD34" s="96">
        <v>0.36430000000000001</v>
      </c>
      <c r="AE34" s="56">
        <f>119306.61+111957.7</f>
        <v>231264.31</v>
      </c>
      <c r="AF34" s="92">
        <v>0.23300000000000001</v>
      </c>
      <c r="AG34" s="92">
        <v>0.36449999999999999</v>
      </c>
      <c r="AH34" s="27">
        <f>119306+110414.4</f>
        <v>229720.4</v>
      </c>
      <c r="AI34" s="94">
        <v>0.23300000000000001</v>
      </c>
      <c r="AJ34" s="94">
        <v>0.3594</v>
      </c>
      <c r="AK34" s="27">
        <f>119306.61+109817.91</f>
        <v>229124.52000000002</v>
      </c>
      <c r="AL34" s="94">
        <v>0.23300000000000001</v>
      </c>
      <c r="AM34" s="94">
        <v>0.35749999999999998</v>
      </c>
      <c r="AN34" s="186"/>
      <c r="AO34" s="223"/>
      <c r="AP34" s="187"/>
      <c r="AQ34" s="27">
        <f>119306.61+111000.22</f>
        <v>230306.83000000002</v>
      </c>
      <c r="AR34" s="94">
        <v>0.23300000000000001</v>
      </c>
      <c r="AS34" s="94">
        <v>0.3614</v>
      </c>
      <c r="AT34" s="27">
        <f>119306.61+111752.1</f>
        <v>231058.71000000002</v>
      </c>
      <c r="AU34" s="94">
        <v>0.23300000000000001</v>
      </c>
      <c r="AV34" s="94">
        <v>0.36380000000000001</v>
      </c>
      <c r="AW34" s="192"/>
      <c r="AX34" s="193"/>
      <c r="AY34" s="196"/>
      <c r="AZ34" s="192"/>
      <c r="BA34" s="193"/>
      <c r="BB34" s="196"/>
      <c r="BC34" s="27">
        <f>119306.61+110801.03</f>
        <v>230107.64</v>
      </c>
      <c r="BD34" s="94">
        <v>0.23300000000000001</v>
      </c>
      <c r="BE34" s="94">
        <v>0.36070000000000002</v>
      </c>
      <c r="BF34" s="27">
        <f>119306.61+111298.55</f>
        <v>230605.16</v>
      </c>
      <c r="BG34" s="94">
        <v>0.23300000000000001</v>
      </c>
      <c r="BH34" s="94">
        <v>0.36230000000000001</v>
      </c>
      <c r="BI34" s="228"/>
      <c r="BJ34" s="27">
        <f>119306.61+114104.41</f>
        <v>233411.02000000002</v>
      </c>
      <c r="BK34" s="94">
        <v>0.23300000000000001</v>
      </c>
      <c r="BL34" s="94">
        <v>0.3715</v>
      </c>
      <c r="BM34" s="27">
        <f>119306.61+113444.18</f>
        <v>232750.78999999998</v>
      </c>
      <c r="BN34" s="94">
        <v>0.23300000000000001</v>
      </c>
      <c r="BO34" s="94">
        <v>0.36930000000000002</v>
      </c>
      <c r="BP34" s="27">
        <f>119306.61+115435.02</f>
        <v>234741.63</v>
      </c>
      <c r="BQ34" s="94">
        <v>0.23300000000000001</v>
      </c>
      <c r="BR34" s="94">
        <v>0.37580000000000002</v>
      </c>
      <c r="BS34" s="27">
        <f>119306.61+113379.2</f>
        <v>232685.81</v>
      </c>
      <c r="BT34" s="94">
        <v>0.23300000000000001</v>
      </c>
      <c r="BU34" s="94">
        <v>0.36909999999999998</v>
      </c>
      <c r="BV34" s="27">
        <f>119306.61+113144.48</f>
        <v>232451.09</v>
      </c>
      <c r="BW34" s="94">
        <v>0.23300000000000001</v>
      </c>
      <c r="BX34" s="94">
        <v>0.36830000000000002</v>
      </c>
      <c r="BY34" s="27">
        <f>119306.61+115213.28</f>
        <v>234519.89</v>
      </c>
      <c r="BZ34" s="94">
        <v>0.23300000000000001</v>
      </c>
      <c r="CA34" s="94">
        <v>0.37509999999999999</v>
      </c>
      <c r="CC34" s="53">
        <f>116.51/499.98*100</f>
        <v>23.302932117284691</v>
      </c>
      <c r="CD34" s="53">
        <f>112.12/299.98*100</f>
        <v>37.375825055003666</v>
      </c>
      <c r="CE34" s="53">
        <f>116.51/499.98*100</f>
        <v>23.302932117284691</v>
      </c>
      <c r="CF34" s="53">
        <f>107.83/299.98*100</f>
        <v>35.94572971531435</v>
      </c>
      <c r="CG34" s="53">
        <f>116.51/499.98*100</f>
        <v>23.302932117284691</v>
      </c>
      <c r="CH34" s="53">
        <f>109.6/299.98*100</f>
        <v>36.53576905127008</v>
      </c>
      <c r="CI34" s="53">
        <f>116.51/499.98*100</f>
        <v>23.302932117284691</v>
      </c>
      <c r="CJ34" s="53">
        <f>109.47/299.98*100</f>
        <v>36.49243282885525</v>
      </c>
      <c r="CK34" s="53">
        <f>116.51/499.98*100</f>
        <v>23.302932117284691</v>
      </c>
      <c r="CL34" s="53">
        <f>110.17/299.98*100</f>
        <v>36.725781718781256</v>
      </c>
      <c r="CM34" s="53">
        <f>116.51/499.98*100</f>
        <v>23.302932117284691</v>
      </c>
      <c r="CN34" s="53">
        <f>109.98/299.98*100</f>
        <v>36.662444162944198</v>
      </c>
      <c r="CO34" s="232"/>
      <c r="CP34" s="233"/>
      <c r="CQ34" s="53">
        <f>116.51/499.98*100</f>
        <v>23.302932117284691</v>
      </c>
      <c r="CR34" s="53">
        <f>108.58/299.98*100</f>
        <v>36.195746383092207</v>
      </c>
      <c r="CS34" s="53">
        <f>116.51/499.98*100</f>
        <v>23.302932117284691</v>
      </c>
      <c r="CT34" s="53">
        <f>110.83/299.98*100</f>
        <v>36.945796386425762</v>
      </c>
      <c r="CU34" s="53">
        <f>116.51/499.98*100</f>
        <v>23.302932117284691</v>
      </c>
      <c r="CV34" s="53">
        <f>111.27/299.98*100</f>
        <v>37.092472831522102</v>
      </c>
      <c r="CW34" s="53">
        <f>116.51/499.98*100</f>
        <v>23.302932117284691</v>
      </c>
      <c r="CX34" s="53">
        <f>109.81/299.98*100</f>
        <v>36.605773718247882</v>
      </c>
      <c r="CY34" s="53">
        <f>116.51/499.98*100</f>
        <v>23.302932117284691</v>
      </c>
      <c r="CZ34" s="53">
        <f>110.96/299.98*100</f>
        <v>36.989132608840585</v>
      </c>
      <c r="DA34" s="192"/>
      <c r="DB34" s="193"/>
      <c r="DC34" s="192"/>
      <c r="DD34" s="193"/>
      <c r="DE34" s="53">
        <f>116.51/499.98*100</f>
        <v>23.302932117284691</v>
      </c>
      <c r="DF34" s="53">
        <f>111.01/299.98*100</f>
        <v>37.005800386692442</v>
      </c>
      <c r="DG34" s="53">
        <f>116.51/499.98*100</f>
        <v>23.302932117284691</v>
      </c>
      <c r="DH34" s="53">
        <f>112.22/299.98*100</f>
        <v>37.409160610707374</v>
      </c>
      <c r="DI34" s="53">
        <f>116.51/499.98*100</f>
        <v>23.302932117284691</v>
      </c>
      <c r="DJ34" s="53">
        <f>111.38/299.98*100</f>
        <v>37.129141942796181</v>
      </c>
      <c r="DK34" s="53">
        <f>116.51/499.98*100</f>
        <v>23.302932117284691</v>
      </c>
      <c r="DL34" s="53">
        <f>109.948/299.98*100</f>
        <v>36.651776785119004</v>
      </c>
      <c r="DM34" s="53">
        <f>116.51/499.98*100</f>
        <v>23.302932117284691</v>
      </c>
      <c r="DN34" s="53">
        <f>109.1/299.98*100</f>
        <v>36.369091272751511</v>
      </c>
      <c r="DO34" s="128">
        <f>116.51/499.98*100</f>
        <v>23.302932117284691</v>
      </c>
      <c r="DP34" s="128">
        <f>110.02/299.98*100</f>
        <v>36.675778385225676</v>
      </c>
      <c r="DQ34" s="192"/>
      <c r="DR34" s="193"/>
      <c r="DS34" s="128">
        <f>116.51/499.98*100</f>
        <v>23.302932117284691</v>
      </c>
      <c r="DT34" s="128">
        <f>108.97/299.98*100</f>
        <v>36.325755050336689</v>
      </c>
      <c r="DU34" s="128">
        <f>116.51/499.98*100</f>
        <v>23.302932117284691</v>
      </c>
      <c r="DV34" s="128">
        <f>108.97/299.98*100</f>
        <v>36.325755050336689</v>
      </c>
      <c r="DW34" s="192"/>
      <c r="DX34" s="193"/>
      <c r="DY34" s="128">
        <f>116.51/499.98*100</f>
        <v>23.302932117284691</v>
      </c>
      <c r="DZ34" s="128">
        <f>110.59/299.98*100</f>
        <v>36.865791052736846</v>
      </c>
      <c r="EA34" s="128">
        <f>116.51/499.98*100</f>
        <v>23.302932117284691</v>
      </c>
      <c r="EB34" s="128">
        <f>120.14/299.98*100</f>
        <v>40.049336622441494</v>
      </c>
      <c r="EC34" s="128">
        <f>116.51/499.98*100</f>
        <v>23.302932117284691</v>
      </c>
      <c r="ED34" s="128">
        <f>120.18/299.98*100</f>
        <v>40.06267084472298</v>
      </c>
      <c r="EE34" s="192"/>
      <c r="EF34" s="193"/>
      <c r="EG34" s="27"/>
      <c r="EH34" s="94"/>
      <c r="EI34" s="128">
        <f>116.51/499.98*100</f>
        <v>23.302932117284691</v>
      </c>
      <c r="EJ34" s="128">
        <f>121.31/299.98*100</f>
        <v>40.439362624174947</v>
      </c>
      <c r="EL34" s="53"/>
      <c r="EM34" s="53"/>
      <c r="EN34" s="192"/>
      <c r="EO34" s="193"/>
      <c r="EP34" s="128">
        <f>116.51/499.98*100</f>
        <v>23.302932117284691</v>
      </c>
      <c r="EQ34" s="128">
        <f>134.72/299.98*100</f>
        <v>44.90966064404293</v>
      </c>
      <c r="ER34" s="128">
        <f>116.51/499.98*100</f>
        <v>23.302932117284691</v>
      </c>
      <c r="ES34" s="128">
        <f>134.72/299.98*100</f>
        <v>44.90966064404293</v>
      </c>
      <c r="ET34" s="192"/>
      <c r="EU34" s="193"/>
      <c r="EV34" s="128">
        <f>116.51/499.98*100</f>
        <v>23.302932117284691</v>
      </c>
      <c r="EW34" s="128">
        <f>133.7/299.98*100</f>
        <v>44.569637975865049</v>
      </c>
      <c r="EX34" s="128">
        <f>116.51/499.98*100</f>
        <v>23.302932117284691</v>
      </c>
      <c r="EY34" s="128">
        <f>134.66/299.98*100</f>
        <v>44.889659310620708</v>
      </c>
      <c r="EZ34" s="128">
        <f>116.51/499.98*100</f>
        <v>23.302932117284691</v>
      </c>
      <c r="FA34" s="128">
        <f>133.83/299.98*100</f>
        <v>44.612974198279886</v>
      </c>
      <c r="FB34" s="128">
        <f>116.51/499.98*100</f>
        <v>23.302932117284691</v>
      </c>
      <c r="FC34" s="128">
        <v>44.64</v>
      </c>
      <c r="FD34" s="128">
        <f>116.51/499.98*100</f>
        <v>23.302932117284691</v>
      </c>
      <c r="FE34" s="128">
        <v>44.64</v>
      </c>
      <c r="FF34" s="128">
        <f>116.51/499.98*100</f>
        <v>23.302932117284691</v>
      </c>
      <c r="FG34" s="128">
        <v>44.94</v>
      </c>
      <c r="FH34" s="192"/>
      <c r="FI34" s="193"/>
      <c r="FJ34" s="128">
        <f>116.51/499.98*100</f>
        <v>23.302932117284691</v>
      </c>
      <c r="FK34" s="128">
        <v>44.7</v>
      </c>
      <c r="FL34" s="128">
        <f>116.51/499.98*100</f>
        <v>23.302932117284691</v>
      </c>
      <c r="FM34" s="128">
        <v>44.72</v>
      </c>
      <c r="FN34" s="128">
        <f>116.51/499.98*100</f>
        <v>23.302932117284691</v>
      </c>
      <c r="FO34" s="128">
        <v>44.95</v>
      </c>
      <c r="FP34" s="128">
        <v>24.09</v>
      </c>
      <c r="FQ34" s="128">
        <v>46.57</v>
      </c>
      <c r="FR34" s="128">
        <v>24.09</v>
      </c>
      <c r="FS34" s="128">
        <v>46.57</v>
      </c>
      <c r="FT34" s="192"/>
      <c r="FU34" s="193"/>
      <c r="FV34" s="192"/>
      <c r="FW34" s="193"/>
      <c r="FX34" s="128">
        <v>24.16</v>
      </c>
      <c r="FY34" s="128">
        <v>45.01</v>
      </c>
      <c r="FZ34" s="128">
        <v>24.18</v>
      </c>
      <c r="GA34" s="128">
        <v>45.27</v>
      </c>
      <c r="GB34" s="128">
        <v>24.21</v>
      </c>
      <c r="GC34" s="128">
        <v>45.2</v>
      </c>
      <c r="GD34" s="128">
        <v>24.22</v>
      </c>
      <c r="GE34" s="128">
        <v>44.96</v>
      </c>
      <c r="GF34" s="128">
        <v>24.23</v>
      </c>
      <c r="GG34" s="128">
        <v>45.47</v>
      </c>
      <c r="GH34" s="128"/>
      <c r="GI34" s="128"/>
      <c r="GJ34" s="192"/>
      <c r="GK34" s="193"/>
      <c r="GL34" s="128">
        <v>26.86</v>
      </c>
      <c r="GM34" s="128">
        <v>48.02</v>
      </c>
      <c r="GN34" s="128">
        <v>26.86</v>
      </c>
      <c r="GO34" s="128">
        <v>45.63</v>
      </c>
      <c r="GP34" s="27">
        <v>26.86</v>
      </c>
      <c r="GQ34" s="27">
        <v>45.55</v>
      </c>
      <c r="GR34" s="27">
        <v>26.86</v>
      </c>
      <c r="GS34" s="27">
        <v>45.55</v>
      </c>
      <c r="GT34" s="27">
        <v>26.86</v>
      </c>
      <c r="GU34" s="27">
        <v>45.76</v>
      </c>
      <c r="GW34" s="27">
        <v>26.86</v>
      </c>
      <c r="GX34" s="27">
        <v>45.76</v>
      </c>
      <c r="GY34" s="192"/>
      <c r="GZ34" s="193"/>
      <c r="HA34" s="192"/>
      <c r="HB34" s="193"/>
      <c r="HC34" s="53">
        <v>77.13</v>
      </c>
      <c r="HD34" s="53">
        <v>28.15</v>
      </c>
      <c r="HE34" s="53"/>
      <c r="HF34" s="53"/>
      <c r="HG34" s="192"/>
      <c r="HH34" s="193"/>
      <c r="HI34" s="192"/>
      <c r="HJ34" s="193"/>
      <c r="HK34" s="53">
        <v>77.489999999999995</v>
      </c>
      <c r="HL34" s="53">
        <v>89.87</v>
      </c>
      <c r="HM34" s="192"/>
      <c r="HN34" s="193"/>
      <c r="HO34" s="128">
        <v>78.44</v>
      </c>
      <c r="HP34" s="128">
        <v>5.92</v>
      </c>
      <c r="HQ34" s="128">
        <v>78.44</v>
      </c>
      <c r="HR34" s="128">
        <v>5.92</v>
      </c>
      <c r="HS34" s="128"/>
      <c r="HT34" s="128"/>
      <c r="HU34" s="128"/>
      <c r="HV34" s="128"/>
      <c r="HW34" s="128"/>
      <c r="HX34" s="128"/>
      <c r="HY34" s="128"/>
      <c r="HZ34" s="128"/>
      <c r="IA34" s="128"/>
      <c r="IB34" s="128"/>
      <c r="IC34" s="128"/>
      <c r="ID34" s="128"/>
      <c r="IE34" s="128"/>
      <c r="IF34" s="128"/>
      <c r="IG34" s="128"/>
      <c r="IH34" s="128"/>
      <c r="II34" s="128"/>
      <c r="IJ34" s="128"/>
      <c r="IK34" s="192"/>
      <c r="IL34" s="193"/>
      <c r="IM34" s="128"/>
      <c r="IN34" s="128"/>
      <c r="IO34" s="192"/>
      <c r="IP34" s="193"/>
      <c r="IQ34" s="128"/>
      <c r="IR34" s="128"/>
      <c r="IS34" s="128"/>
      <c r="IT34" s="128"/>
      <c r="IU34" s="128"/>
      <c r="IV34" s="128"/>
      <c r="IW34" s="128"/>
      <c r="IX34" s="128"/>
      <c r="IY34" s="128"/>
      <c r="IZ34" s="128"/>
      <c r="JA34" s="128"/>
      <c r="JB34" s="128"/>
      <c r="JC34" s="128"/>
      <c r="JD34" s="128"/>
      <c r="JE34" s="128"/>
      <c r="JF34" s="128"/>
      <c r="JH34" s="128"/>
      <c r="JI34" s="128"/>
      <c r="JJ34" s="128"/>
      <c r="JK34" s="128"/>
      <c r="JL34" s="128"/>
      <c r="JM34" s="128"/>
      <c r="JN34" s="128"/>
      <c r="JO34" s="128"/>
      <c r="JP34" s="128"/>
      <c r="JQ34" s="128"/>
      <c r="JR34" s="186"/>
      <c r="JS34" s="187"/>
      <c r="JT34" s="128"/>
      <c r="JU34" s="128"/>
      <c r="JV34" s="128"/>
      <c r="JW34" s="128"/>
      <c r="JX34" s="128"/>
      <c r="JY34" s="128"/>
      <c r="JZ34" s="128"/>
      <c r="KA34" s="128"/>
      <c r="KB34" s="128"/>
      <c r="KC34" s="128"/>
      <c r="KD34" s="128"/>
      <c r="KE34" s="128"/>
      <c r="KF34" s="186"/>
      <c r="KG34" s="187"/>
      <c r="KH34" s="128"/>
      <c r="KI34" s="128"/>
      <c r="KJ34" s="128"/>
      <c r="KK34" s="128"/>
      <c r="KL34" s="128"/>
      <c r="KM34" s="128"/>
    </row>
    <row r="35" spans="1:299" x14ac:dyDescent="0.3">
      <c r="A35" s="24">
        <v>31</v>
      </c>
      <c r="B35" s="25" t="s">
        <v>58</v>
      </c>
      <c r="C35" s="26" t="s">
        <v>47</v>
      </c>
      <c r="D35" s="213"/>
      <c r="E35" s="27"/>
      <c r="F35" s="216"/>
      <c r="G35" s="27"/>
      <c r="H35" s="53"/>
      <c r="I35" s="61"/>
      <c r="J35" s="27"/>
      <c r="K35" s="62"/>
      <c r="L35" s="56"/>
      <c r="M35" s="27"/>
      <c r="N35" s="62"/>
      <c r="O35" s="61"/>
      <c r="P35" s="27"/>
      <c r="Q35" s="62"/>
      <c r="R35" s="56"/>
      <c r="S35" s="27"/>
      <c r="T35" s="62"/>
      <c r="U35" s="203"/>
      <c r="V35" s="61"/>
      <c r="W35" s="27"/>
      <c r="X35" s="62"/>
      <c r="Y35" s="61"/>
      <c r="Z35" s="56"/>
      <c r="AA35" s="80"/>
      <c r="AB35" s="61"/>
      <c r="AC35" s="92"/>
      <c r="AD35" s="80"/>
      <c r="AE35" s="56"/>
      <c r="AF35" s="56"/>
      <c r="AG35" s="56"/>
      <c r="AH35" s="27"/>
      <c r="AI35" s="27"/>
      <c r="AJ35" s="27"/>
      <c r="AK35" s="27"/>
      <c r="AL35" s="27"/>
      <c r="AM35" s="27"/>
      <c r="AN35" s="186"/>
      <c r="AO35" s="223"/>
      <c r="AP35" s="187"/>
      <c r="AQ35" s="27"/>
      <c r="AR35" s="27"/>
      <c r="AS35" s="27"/>
      <c r="AT35" s="27"/>
      <c r="AU35" s="27"/>
      <c r="AV35" s="27"/>
      <c r="AW35" s="192"/>
      <c r="AX35" s="193"/>
      <c r="AY35" s="196"/>
      <c r="AZ35" s="192"/>
      <c r="BA35" s="193"/>
      <c r="BB35" s="196"/>
      <c r="BC35" s="27"/>
      <c r="BD35" s="27"/>
      <c r="BE35" s="27"/>
      <c r="BF35" s="27"/>
      <c r="BG35" s="27"/>
      <c r="BH35" s="27"/>
      <c r="BI35" s="228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C35" s="53"/>
      <c r="CD35" s="53"/>
      <c r="CE35" s="61"/>
      <c r="CF35" s="27"/>
      <c r="CG35" s="56"/>
      <c r="CH35" s="27"/>
      <c r="CI35" s="61"/>
      <c r="CJ35" s="27"/>
      <c r="CK35" s="53">
        <f>8.84/499.98*100</f>
        <v>1.7680707228289132</v>
      </c>
      <c r="CL35" s="53">
        <f>101.78/199.98*100</f>
        <v>50.895089508950896</v>
      </c>
      <c r="CM35" s="53">
        <f>8.84/499.98*100</f>
        <v>1.7680707228289132</v>
      </c>
      <c r="CN35" s="53">
        <f>82.2/199.98*100</f>
        <v>41.104110411041106</v>
      </c>
      <c r="CO35" s="232"/>
      <c r="CP35" s="233"/>
      <c r="CQ35" s="53">
        <f>8.84/499.98*100</f>
        <v>1.7680707228289132</v>
      </c>
      <c r="CR35" s="53">
        <f>82.2/199.98*100</f>
        <v>41.104110411041106</v>
      </c>
      <c r="CS35" s="53">
        <f>8.84/499.98*100</f>
        <v>1.7680707228289132</v>
      </c>
      <c r="CT35" s="53">
        <f>82.2/199.98*100</f>
        <v>41.104110411041106</v>
      </c>
      <c r="CU35" s="53">
        <f>8.84/499.98*100</f>
        <v>1.7680707228289132</v>
      </c>
      <c r="CV35" s="53">
        <f>82.2/199.98*100</f>
        <v>41.104110411041106</v>
      </c>
      <c r="CW35" s="53">
        <f>8.9/499.98*100</f>
        <v>1.780071202848114</v>
      </c>
      <c r="CX35" s="53">
        <f>82.2/199.98*100</f>
        <v>41.104110411041106</v>
      </c>
      <c r="CY35" s="53">
        <f>8.9/499.98*100</f>
        <v>1.780071202848114</v>
      </c>
      <c r="CZ35" s="53">
        <f>82.2/199.98*100</f>
        <v>41.104110411041106</v>
      </c>
      <c r="DA35" s="192"/>
      <c r="DB35" s="193"/>
      <c r="DC35" s="192"/>
      <c r="DD35" s="193"/>
      <c r="DE35" s="53">
        <f>8.9/499.98*100</f>
        <v>1.780071202848114</v>
      </c>
      <c r="DF35" s="53">
        <f>82.2/199.98*100</f>
        <v>41.104110411041106</v>
      </c>
      <c r="DG35" s="53">
        <f>8.9/499.98*100</f>
        <v>1.780071202848114</v>
      </c>
      <c r="DH35" s="53">
        <f>82.2/199.98*100</f>
        <v>41.104110411041106</v>
      </c>
      <c r="DI35" s="53">
        <f>8.9/499.98*100</f>
        <v>1.780071202848114</v>
      </c>
      <c r="DJ35" s="53">
        <f>82.2/199.98*100</f>
        <v>41.104110411041106</v>
      </c>
      <c r="DK35" s="53">
        <f>8.96/499.98*100</f>
        <v>1.7920716828673147</v>
      </c>
      <c r="DL35" s="53">
        <f>82.2/199.98*100</f>
        <v>41.104110411041106</v>
      </c>
      <c r="DM35" s="53">
        <f>8.96/499.98*100</f>
        <v>1.7920716828673147</v>
      </c>
      <c r="DN35" s="53">
        <f>82.2/199.98*100</f>
        <v>41.104110411041106</v>
      </c>
      <c r="DO35" s="128">
        <f>8.96/499.98*100</f>
        <v>1.7920716828673147</v>
      </c>
      <c r="DP35" s="128">
        <f>82.2/199.98*100</f>
        <v>41.104110411041106</v>
      </c>
      <c r="DQ35" s="192"/>
      <c r="DR35" s="193"/>
      <c r="DS35" s="128">
        <f>8.96/499.98*100</f>
        <v>1.7920716828673147</v>
      </c>
      <c r="DT35" s="128">
        <f>82.2/199.98*100</f>
        <v>41.104110411041106</v>
      </c>
      <c r="DU35" s="128">
        <f>8.96/499.98*100</f>
        <v>1.7920716828673147</v>
      </c>
      <c r="DV35" s="128">
        <f>82.2/199.98*100</f>
        <v>41.104110411041106</v>
      </c>
      <c r="DW35" s="192"/>
      <c r="DX35" s="193"/>
      <c r="DY35" s="128">
        <f>8.96/499.98*100</f>
        <v>1.7920716828673147</v>
      </c>
      <c r="DZ35" s="128">
        <f>7.19/199.98*100</f>
        <v>3.5953595359535955</v>
      </c>
      <c r="EA35" s="128">
        <f>8.96/499.98*100</f>
        <v>1.7920716828673147</v>
      </c>
      <c r="EB35" s="128">
        <f>7.19/199.98*100</f>
        <v>3.5953595359535955</v>
      </c>
      <c r="EC35" s="128">
        <f>7.45/499.98*100</f>
        <v>1.4900596023840953</v>
      </c>
      <c r="ED35" s="128">
        <f>7.07/199.98*100</f>
        <v>3.5353535353535359</v>
      </c>
      <c r="EE35" s="192"/>
      <c r="EF35" s="193"/>
      <c r="EG35" s="27"/>
      <c r="EH35" s="27"/>
      <c r="EI35" s="128">
        <f>7.52/499.98*100</f>
        <v>1.5040601624064962</v>
      </c>
      <c r="EJ35" s="128">
        <f>7.19/199.98*100</f>
        <v>3.5953595359535955</v>
      </c>
      <c r="EL35" s="53"/>
      <c r="EM35" s="53"/>
      <c r="EN35" s="192"/>
      <c r="EO35" s="193"/>
      <c r="EP35" s="128">
        <f>7.52/499.98*100</f>
        <v>1.5040601624064962</v>
      </c>
      <c r="EQ35" s="128">
        <f>7.19/199.98*100</f>
        <v>3.5953595359535955</v>
      </c>
      <c r="ER35" s="128">
        <f>7.58/499.98*100</f>
        <v>1.516060642425697</v>
      </c>
      <c r="ES35" s="128">
        <f>7.19/199.98*100</f>
        <v>3.5953595359535955</v>
      </c>
      <c r="ET35" s="192"/>
      <c r="EU35" s="193"/>
      <c r="EV35" s="128">
        <f>7.58/499.98*100</f>
        <v>1.516060642425697</v>
      </c>
      <c r="EW35" s="128">
        <f>7.19/199.98*100</f>
        <v>3.5953595359535955</v>
      </c>
      <c r="EX35" s="128">
        <f>7.58/499.98*100</f>
        <v>1.516060642425697</v>
      </c>
      <c r="EY35" s="128">
        <f>7.19/199.98*100</f>
        <v>3.5953595359535955</v>
      </c>
      <c r="EZ35" s="128">
        <f>7.58/499.98*100</f>
        <v>1.516060642425697</v>
      </c>
      <c r="FA35" s="128">
        <f>7.19/199.98*100</f>
        <v>3.5953595359535955</v>
      </c>
      <c r="FB35" s="128">
        <v>2.09</v>
      </c>
      <c r="FC35" s="128">
        <v>4.07</v>
      </c>
      <c r="FD35" s="128">
        <v>2.09</v>
      </c>
      <c r="FE35" s="128">
        <v>4.07</v>
      </c>
      <c r="FF35" s="128">
        <v>2.12</v>
      </c>
      <c r="FG35" s="128">
        <v>4</v>
      </c>
      <c r="FH35" s="192"/>
      <c r="FI35" s="193"/>
      <c r="FJ35" s="128">
        <v>2.12</v>
      </c>
      <c r="FK35" s="128">
        <v>4</v>
      </c>
      <c r="FL35" s="128">
        <v>2.12</v>
      </c>
      <c r="FM35" s="128">
        <v>4</v>
      </c>
      <c r="FN35" s="128">
        <v>2.12</v>
      </c>
      <c r="FO35" s="128">
        <v>4</v>
      </c>
      <c r="FP35" s="128">
        <v>2.27</v>
      </c>
      <c r="FQ35" s="128">
        <v>4.25</v>
      </c>
      <c r="FR35" s="128">
        <v>2.2799999999999998</v>
      </c>
      <c r="FS35" s="128">
        <v>4.25</v>
      </c>
      <c r="FT35" s="192"/>
      <c r="FU35" s="193"/>
      <c r="FV35" s="192"/>
      <c r="FW35" s="193"/>
      <c r="FX35" s="128">
        <v>2.2799999999999998</v>
      </c>
      <c r="FY35" s="128">
        <v>4.25</v>
      </c>
      <c r="FZ35" s="128">
        <v>2.29</v>
      </c>
      <c r="GA35" s="128">
        <v>4.25</v>
      </c>
      <c r="GB35" s="128">
        <v>2.29</v>
      </c>
      <c r="GC35" s="128">
        <v>4.25</v>
      </c>
      <c r="GD35" s="128">
        <v>2.29</v>
      </c>
      <c r="GE35" s="128">
        <v>4.25</v>
      </c>
      <c r="GF35" s="128">
        <v>2.29</v>
      </c>
      <c r="GG35" s="128">
        <v>4.25</v>
      </c>
      <c r="GH35" s="128"/>
      <c r="GI35" s="128"/>
      <c r="GJ35" s="192"/>
      <c r="GK35" s="193"/>
      <c r="GL35" s="128">
        <v>3.43</v>
      </c>
      <c r="GM35" s="128">
        <v>4.1100000000000003</v>
      </c>
      <c r="GN35" s="128">
        <v>3.43</v>
      </c>
      <c r="GO35" s="128">
        <v>4.21</v>
      </c>
      <c r="GP35" s="27">
        <v>3.43</v>
      </c>
      <c r="GQ35" s="27">
        <v>4.2699999999999996</v>
      </c>
      <c r="GR35" s="27">
        <v>3.43</v>
      </c>
      <c r="GS35" s="27">
        <v>4.2699999999999996</v>
      </c>
      <c r="GT35" s="27">
        <v>4.22</v>
      </c>
      <c r="GU35" s="27">
        <v>4.71</v>
      </c>
      <c r="GW35" s="27">
        <v>4.22</v>
      </c>
      <c r="GX35" s="27">
        <v>4.71</v>
      </c>
      <c r="GY35" s="192"/>
      <c r="GZ35" s="193"/>
      <c r="HA35" s="192"/>
      <c r="HB35" s="193"/>
      <c r="HC35" s="128">
        <v>4.24</v>
      </c>
      <c r="HD35" s="128">
        <v>5.21</v>
      </c>
      <c r="HE35" s="128"/>
      <c r="HF35" s="128"/>
      <c r="HG35" s="192"/>
      <c r="HH35" s="193"/>
      <c r="HI35" s="192"/>
      <c r="HJ35" s="193"/>
      <c r="HK35" s="128">
        <v>4.3600000000000003</v>
      </c>
      <c r="HL35" s="128">
        <v>5.4</v>
      </c>
      <c r="HM35" s="192"/>
      <c r="HN35" s="193"/>
      <c r="HO35" s="128">
        <v>4.37</v>
      </c>
      <c r="HP35" s="128">
        <v>5.55</v>
      </c>
      <c r="HQ35" s="128">
        <v>4.37</v>
      </c>
      <c r="HR35" s="128">
        <v>5.55</v>
      </c>
      <c r="HS35" s="128">
        <v>4.37</v>
      </c>
      <c r="HT35" s="128">
        <v>5.58</v>
      </c>
      <c r="HU35" s="128">
        <v>4.37</v>
      </c>
      <c r="HV35" s="128">
        <v>5.65</v>
      </c>
      <c r="HW35" s="128">
        <v>4.37</v>
      </c>
      <c r="HX35" s="128">
        <v>5.65</v>
      </c>
      <c r="HY35" s="128"/>
      <c r="HZ35" s="128"/>
      <c r="IA35" s="128">
        <v>4.3899999999999997</v>
      </c>
      <c r="IB35" s="128">
        <v>5.99</v>
      </c>
      <c r="IC35" s="128"/>
      <c r="ID35" s="128"/>
      <c r="IE35" s="128"/>
      <c r="IF35" s="128"/>
      <c r="IG35" s="128">
        <v>4.3899999999999997</v>
      </c>
      <c r="IH35" s="128">
        <v>5.99</v>
      </c>
      <c r="II35" s="128"/>
      <c r="IJ35" s="128"/>
      <c r="IK35" s="192"/>
      <c r="IL35" s="193"/>
      <c r="IM35" s="128">
        <v>4.3899999999999997</v>
      </c>
      <c r="IN35" s="128">
        <v>6.24</v>
      </c>
      <c r="IO35" s="192"/>
      <c r="IP35" s="193"/>
      <c r="IQ35" s="128"/>
      <c r="IR35" s="128"/>
      <c r="IS35" s="128"/>
      <c r="IT35" s="128"/>
      <c r="IU35" s="128"/>
      <c r="IV35" s="128"/>
      <c r="IW35" s="128">
        <v>4.41</v>
      </c>
      <c r="IX35" s="128">
        <v>6.55</v>
      </c>
      <c r="IY35" s="128">
        <v>4.41</v>
      </c>
      <c r="IZ35" s="128">
        <v>6.55</v>
      </c>
      <c r="JA35" s="128">
        <v>4.41</v>
      </c>
      <c r="JB35" s="128">
        <v>6.74</v>
      </c>
      <c r="JC35" s="128"/>
      <c r="JD35" s="128"/>
      <c r="JE35" s="128">
        <v>4.41</v>
      </c>
      <c r="JF35" s="128">
        <v>6.74</v>
      </c>
      <c r="JH35" s="128">
        <v>4.41</v>
      </c>
      <c r="JI35" s="128">
        <v>7.05</v>
      </c>
      <c r="JJ35" s="128">
        <v>4.41</v>
      </c>
      <c r="JK35" s="128">
        <v>7.05</v>
      </c>
      <c r="JL35" s="128">
        <v>4.41</v>
      </c>
      <c r="JM35" s="128">
        <v>7.05</v>
      </c>
      <c r="JN35" s="128">
        <v>4.41</v>
      </c>
      <c r="JO35" s="128">
        <v>7.05</v>
      </c>
      <c r="JP35" s="128">
        <v>4.42</v>
      </c>
      <c r="JQ35" s="128">
        <v>7.18</v>
      </c>
      <c r="JR35" s="186"/>
      <c r="JS35" s="187"/>
      <c r="JT35" s="128">
        <v>4.42</v>
      </c>
      <c r="JU35" s="128">
        <v>7.18</v>
      </c>
      <c r="JV35" s="128">
        <v>4.42</v>
      </c>
      <c r="JW35" s="128">
        <v>7.61</v>
      </c>
      <c r="JX35" s="128">
        <v>4.42</v>
      </c>
      <c r="JY35" s="128">
        <v>7.61</v>
      </c>
      <c r="JZ35" s="128">
        <v>4.42</v>
      </c>
      <c r="KA35" s="128">
        <v>7.61</v>
      </c>
      <c r="KB35" s="128">
        <v>4.42</v>
      </c>
      <c r="KC35" s="128">
        <v>7.61</v>
      </c>
      <c r="KD35" s="128">
        <v>4.42</v>
      </c>
      <c r="KE35" s="128">
        <v>7.61</v>
      </c>
      <c r="KF35" s="186"/>
      <c r="KG35" s="187"/>
      <c r="KH35" s="128">
        <v>4.42</v>
      </c>
      <c r="KI35" s="128">
        <v>7.61</v>
      </c>
      <c r="KJ35" s="128">
        <v>4.42</v>
      </c>
      <c r="KK35" s="128">
        <v>7.61</v>
      </c>
      <c r="KL35" s="128">
        <v>4.4400000000000004</v>
      </c>
      <c r="KM35" s="128">
        <v>8.18</v>
      </c>
    </row>
    <row r="36" spans="1:299" x14ac:dyDescent="0.3">
      <c r="A36" s="5">
        <v>32</v>
      </c>
      <c r="B36" s="4" t="s">
        <v>59</v>
      </c>
      <c r="C36" s="6" t="s">
        <v>60</v>
      </c>
      <c r="D36" s="213"/>
      <c r="E36" s="14">
        <f>24672.61+99139.58</f>
        <v>123812.19</v>
      </c>
      <c r="F36" s="216"/>
      <c r="G36" s="14">
        <f>24672.61+99968.6</f>
        <v>124641.21</v>
      </c>
      <c r="H36" s="72">
        <f>24672.61+100354.82</f>
        <v>125027.43000000001</v>
      </c>
      <c r="I36" s="45">
        <f>24672.61+100803.9</f>
        <v>125476.51</v>
      </c>
      <c r="J36" s="22">
        <v>0.24099999999999999</v>
      </c>
      <c r="K36" s="60">
        <v>0.98440000000000005</v>
      </c>
      <c r="L36" s="55">
        <f>24672.61+89231.29</f>
        <v>113903.9</v>
      </c>
      <c r="M36" s="22">
        <v>0.24099999999999999</v>
      </c>
      <c r="N36" s="60">
        <v>0.87160000000000004</v>
      </c>
      <c r="O36" s="45">
        <f>31200.61+76031.75</f>
        <v>107232.36</v>
      </c>
      <c r="P36" s="22">
        <v>0.30470000000000003</v>
      </c>
      <c r="Q36" s="60">
        <v>0.74260000000000004</v>
      </c>
      <c r="R36" s="55">
        <f>31201.43+76480.69</f>
        <v>107682.12</v>
      </c>
      <c r="S36" s="22">
        <v>0.30480000000000002</v>
      </c>
      <c r="T36" s="60">
        <v>0.747</v>
      </c>
      <c r="U36" s="203"/>
      <c r="V36" s="45">
        <f>31203.86+77367.04</f>
        <v>108570.9</v>
      </c>
      <c r="W36" s="22">
        <v>0.30480000000000002</v>
      </c>
      <c r="X36" s="60">
        <v>0.75570000000000004</v>
      </c>
      <c r="Y36" s="45">
        <f>31207.24+77756.14</f>
        <v>108963.38</v>
      </c>
      <c r="Z36" s="77">
        <v>0.30480000000000002</v>
      </c>
      <c r="AA36" s="79">
        <v>0.75949999999999995</v>
      </c>
      <c r="AB36" s="45">
        <f>31400.15+76413.2</f>
        <v>107813.35</v>
      </c>
      <c r="AC36" s="77">
        <v>0.30669999999999997</v>
      </c>
      <c r="AD36" s="79">
        <v>0.74639999999999995</v>
      </c>
      <c r="AE36" s="55">
        <f>36136.15+92030.74</f>
        <v>128166.89000000001</v>
      </c>
      <c r="AF36" s="77">
        <v>0.36299999999999999</v>
      </c>
      <c r="AG36" s="78">
        <v>0.89890000000000003</v>
      </c>
      <c r="AH36" s="14">
        <f>36142.34+43218.23</f>
        <v>79360.570000000007</v>
      </c>
      <c r="AI36" s="22">
        <v>0.35299999999999998</v>
      </c>
      <c r="AJ36" s="22">
        <v>0.42209999999999998</v>
      </c>
      <c r="AK36" s="14">
        <f>37934.34+43606.58</f>
        <v>81540.92</v>
      </c>
      <c r="AL36" s="22">
        <v>0.3705</v>
      </c>
      <c r="AM36" s="22">
        <v>0.4259</v>
      </c>
      <c r="AN36" s="186"/>
      <c r="AO36" s="223"/>
      <c r="AP36" s="187"/>
      <c r="AQ36" s="14">
        <f>38190.34+43540.12</f>
        <v>81730.459999999992</v>
      </c>
      <c r="AR36" s="22">
        <v>0.373</v>
      </c>
      <c r="AS36" s="22">
        <v>0.42530000000000001</v>
      </c>
      <c r="AT36" s="14">
        <f>40942.34+43927.77</f>
        <v>84870.109999999986</v>
      </c>
      <c r="AU36" s="22">
        <v>0.39989999999999998</v>
      </c>
      <c r="AV36" s="22">
        <v>0.42909999999999998</v>
      </c>
      <c r="AW36" s="192"/>
      <c r="AX36" s="193"/>
      <c r="AY36" s="196"/>
      <c r="AZ36" s="192"/>
      <c r="BA36" s="193"/>
      <c r="BB36" s="196"/>
      <c r="BC36" s="14">
        <f>49333.84+41557.25</f>
        <v>90891.09</v>
      </c>
      <c r="BD36" s="22">
        <v>0.4819</v>
      </c>
      <c r="BE36" s="22">
        <v>0.40589999999999998</v>
      </c>
      <c r="BF36" s="14">
        <f>49333.84+42801.72</f>
        <v>92135.56</v>
      </c>
      <c r="BG36" s="22">
        <v>0.4819</v>
      </c>
      <c r="BH36" s="22">
        <v>0.41810000000000003</v>
      </c>
      <c r="BI36" s="228"/>
      <c r="BJ36" s="14">
        <f>49333.84+40751.19</f>
        <v>90085.03</v>
      </c>
      <c r="BK36" s="22">
        <v>0.4819</v>
      </c>
      <c r="BL36" s="22">
        <v>0.39800000000000002</v>
      </c>
      <c r="BM36" s="14">
        <f>49589.94+41203.54</f>
        <v>90793.48000000001</v>
      </c>
      <c r="BN36" s="22">
        <v>0.4844</v>
      </c>
      <c r="BO36" s="22">
        <v>0.40239999999999998</v>
      </c>
      <c r="BP36" s="14">
        <f>49589.84+41584.79</f>
        <v>91174.63</v>
      </c>
      <c r="BQ36" s="22">
        <v>0.4844</v>
      </c>
      <c r="BR36" s="22">
        <v>0.40620000000000001</v>
      </c>
      <c r="BS36" s="14">
        <f>49589.84+43185.43</f>
        <v>92775.26999999999</v>
      </c>
      <c r="BT36" s="22">
        <v>0.4844</v>
      </c>
      <c r="BU36" s="22">
        <v>0.42180000000000001</v>
      </c>
      <c r="BV36" s="14">
        <f>49653.84+43187.58</f>
        <v>92841.42</v>
      </c>
      <c r="BW36" s="22">
        <v>0.48499999999999999</v>
      </c>
      <c r="BX36" s="22">
        <v>0.42180000000000001</v>
      </c>
      <c r="BY36" s="14">
        <f>49653.84+43785.59</f>
        <v>93439.43</v>
      </c>
      <c r="BZ36" s="22">
        <v>0.48499999999999999</v>
      </c>
      <c r="CA36" s="22">
        <v>0.42770000000000002</v>
      </c>
      <c r="CC36" s="72">
        <f>48.55/99.98*100</f>
        <v>48.559711942388475</v>
      </c>
      <c r="CD36" s="72">
        <f>41.31/99.98*100</f>
        <v>41.31826365273055</v>
      </c>
      <c r="CE36" s="72">
        <f>48.87/99.98*100</f>
        <v>48.879775955191036</v>
      </c>
      <c r="CF36" s="72">
        <f>42.26/99.98*100</f>
        <v>42.268453690738141</v>
      </c>
      <c r="CG36" s="72">
        <f>48.87/99.98*100</f>
        <v>48.879775955191036</v>
      </c>
      <c r="CH36" s="72">
        <f>42.69/99.98*100</f>
        <v>42.698539707941585</v>
      </c>
      <c r="CI36" s="72">
        <f>49.3/99.98*100</f>
        <v>49.309861972394472</v>
      </c>
      <c r="CJ36" s="72">
        <f>43.26/99.98*100</f>
        <v>43.268653730746145</v>
      </c>
      <c r="CK36" s="72">
        <f>49.37/99.98*100</f>
        <v>49.379875975195034</v>
      </c>
      <c r="CL36" s="72">
        <f>43.63/99.98*100</f>
        <v>43.638727745549112</v>
      </c>
      <c r="CM36" s="72">
        <f>49.49/99.98*100</f>
        <v>49.499899979996002</v>
      </c>
      <c r="CN36" s="72">
        <f>44.37/99.98*100</f>
        <v>44.378875775155024</v>
      </c>
      <c r="CO36" s="232"/>
      <c r="CP36" s="233"/>
      <c r="CQ36" s="72">
        <f>49.8/99.98*100</f>
        <v>49.809961992398478</v>
      </c>
      <c r="CR36" s="72">
        <f>42.11/99.98*100</f>
        <v>42.118423684736946</v>
      </c>
      <c r="CS36" s="72">
        <f>49.8/99.98*100</f>
        <v>49.809961992398478</v>
      </c>
      <c r="CT36" s="72">
        <f>42.55/99.98*100</f>
        <v>42.558511702340461</v>
      </c>
      <c r="CU36" s="72">
        <f>50.05/99.98*100</f>
        <v>50.060012002400477</v>
      </c>
      <c r="CV36" s="72">
        <f>43.23/99.98*100</f>
        <v>43.238647729545903</v>
      </c>
      <c r="CW36" s="72">
        <f>50.12/99.98*100</f>
        <v>50.130026005201032</v>
      </c>
      <c r="CX36" s="72">
        <f>44.74/99.98*100</f>
        <v>44.74894978995799</v>
      </c>
      <c r="CY36" s="72">
        <f>50.12/99.98*100</f>
        <v>50.130026005201032</v>
      </c>
      <c r="CZ36" s="72">
        <f>45.064/99.98*100</f>
        <v>45.07301460292058</v>
      </c>
      <c r="DA36" s="192"/>
      <c r="DB36" s="193"/>
      <c r="DC36" s="192"/>
      <c r="DD36" s="193"/>
      <c r="DE36" s="72">
        <f>50.12/99.98*100</f>
        <v>50.130026005201032</v>
      </c>
      <c r="DF36" s="72">
        <f>43.75/99.98*100</f>
        <v>43.758751750350065</v>
      </c>
      <c r="DG36" s="72">
        <f>50.12/99.98*100</f>
        <v>50.130026005201032</v>
      </c>
      <c r="DH36" s="72">
        <f>44.26/99.98*100</f>
        <v>44.268853770754149</v>
      </c>
      <c r="DI36" s="72">
        <f>50.12/99.98*100</f>
        <v>50.130026005201032</v>
      </c>
      <c r="DJ36" s="72">
        <f>42.2/99.98*100</f>
        <v>42.208441688337665</v>
      </c>
      <c r="DK36" s="72">
        <f>50.12/99.98*100</f>
        <v>50.130026005201032</v>
      </c>
      <c r="DL36" s="72">
        <f>42.64/99.98*100</f>
        <v>42.648529705941186</v>
      </c>
      <c r="DM36" s="72">
        <f>50.12/99.98*100</f>
        <v>50.130026005201032</v>
      </c>
      <c r="DN36" s="72">
        <f>44.14/99.98*100</f>
        <v>44.148829765953188</v>
      </c>
      <c r="DO36" s="129">
        <f>50.12/99.98*100</f>
        <v>50.130026005201032</v>
      </c>
      <c r="DP36" s="129">
        <f>44.71/99.98*100</f>
        <v>44.718943788757748</v>
      </c>
      <c r="DQ36" s="192"/>
      <c r="DR36" s="193"/>
      <c r="DS36" s="129">
        <f>50.12/99.98*100</f>
        <v>50.130026005201032</v>
      </c>
      <c r="DT36" s="129">
        <f>42.59/99.98*100</f>
        <v>42.598519703940788</v>
      </c>
      <c r="DU36" s="129">
        <f>50.12/99.98*100</f>
        <v>50.130026005201032</v>
      </c>
      <c r="DV36" s="129">
        <f>42.59/99.98*100</f>
        <v>42.598519703940788</v>
      </c>
      <c r="DW36" s="192"/>
      <c r="DX36" s="193"/>
      <c r="DY36" s="129">
        <f>50.12/99.98*100</f>
        <v>50.130026005201032</v>
      </c>
      <c r="DZ36" s="129">
        <f>44.35/99.98*100</f>
        <v>44.358871774354867</v>
      </c>
      <c r="EA36" s="129">
        <f>50.12/99.98*100</f>
        <v>50.130026005201032</v>
      </c>
      <c r="EB36" s="129">
        <f>44.79/99.98*100</f>
        <v>44.798959791958389</v>
      </c>
      <c r="EC36" s="129">
        <f>50.12/99.98*100</f>
        <v>50.130026005201032</v>
      </c>
      <c r="ED36" s="129">
        <f>45.28/99.98*100</f>
        <v>45.289057811562309</v>
      </c>
      <c r="EE36" s="192"/>
      <c r="EF36" s="193"/>
      <c r="EG36" s="14"/>
      <c r="EH36" s="22"/>
      <c r="EI36" s="129">
        <f>50.12/99.98*100</f>
        <v>50.130026005201032</v>
      </c>
      <c r="EJ36" s="129">
        <f>45.01/99.98*100</f>
        <v>45.019003800760146</v>
      </c>
      <c r="EL36" s="72"/>
      <c r="EM36" s="72"/>
      <c r="EN36" s="192"/>
      <c r="EO36" s="193"/>
      <c r="EP36" s="129">
        <f>50.12/99.98*100</f>
        <v>50.130026005201032</v>
      </c>
      <c r="EQ36" s="129">
        <f>46.45/99.98*100</f>
        <v>46.459291858371678</v>
      </c>
      <c r="ER36" s="129">
        <f>50.12/99.98*100</f>
        <v>50.130026005201032</v>
      </c>
      <c r="ES36" s="129">
        <f>46.95/99.98*100</f>
        <v>46.959391878375676</v>
      </c>
      <c r="ET36" s="192"/>
      <c r="EU36" s="193"/>
      <c r="EV36" s="129">
        <f>50.12/99.98*100</f>
        <v>50.130026005201032</v>
      </c>
      <c r="EW36" s="129">
        <f>44.76/99.98*100</f>
        <v>44.768953790758147</v>
      </c>
      <c r="EX36" s="129">
        <f>50.12/99.98*100</f>
        <v>50.130026005201032</v>
      </c>
      <c r="EY36" s="129">
        <f>45.26/99.98*100</f>
        <v>45.269053810762152</v>
      </c>
      <c r="EZ36" s="129">
        <f>50.12/99.98*100</f>
        <v>50.130026005201032</v>
      </c>
      <c r="FA36" s="129">
        <f>45.64/99.98*100</f>
        <v>45.64912982596519</v>
      </c>
      <c r="FB36" s="129">
        <v>50.19</v>
      </c>
      <c r="FC36" s="129">
        <v>47.23</v>
      </c>
      <c r="FD36" s="72">
        <v>50.19</v>
      </c>
      <c r="FE36" s="72">
        <v>47.73</v>
      </c>
      <c r="FF36" s="72">
        <v>50.19</v>
      </c>
      <c r="FG36" s="72">
        <v>48.1</v>
      </c>
      <c r="FH36" s="192"/>
      <c r="FI36" s="193"/>
      <c r="FJ36" s="72">
        <v>50.19</v>
      </c>
      <c r="FK36" s="72">
        <v>46.35</v>
      </c>
      <c r="FL36" s="72">
        <v>50.19</v>
      </c>
      <c r="FM36" s="72">
        <v>46.35</v>
      </c>
      <c r="FN36" s="72">
        <v>50.19</v>
      </c>
      <c r="FO36" s="72">
        <v>47.29</v>
      </c>
      <c r="FP36" s="72">
        <v>50.19</v>
      </c>
      <c r="FQ36" s="72">
        <v>47.74</v>
      </c>
      <c r="FR36" s="72">
        <v>50.19</v>
      </c>
      <c r="FS36" s="72">
        <v>48.47</v>
      </c>
      <c r="FT36" s="192"/>
      <c r="FU36" s="193"/>
      <c r="FV36" s="192"/>
      <c r="FW36" s="193"/>
      <c r="FX36" s="72">
        <v>51.44</v>
      </c>
      <c r="FY36" s="72">
        <v>51.2</v>
      </c>
      <c r="FZ36" s="72">
        <v>51.44</v>
      </c>
      <c r="GA36" s="72">
        <v>51.7</v>
      </c>
      <c r="GB36" s="72">
        <v>51.44</v>
      </c>
      <c r="GC36" s="72">
        <v>52.2</v>
      </c>
      <c r="GD36" s="72">
        <v>51.44</v>
      </c>
      <c r="GE36" s="72">
        <v>52.7</v>
      </c>
      <c r="GF36" s="72">
        <v>51.44</v>
      </c>
      <c r="GG36" s="72">
        <v>53.08</v>
      </c>
      <c r="GH36" s="129"/>
      <c r="GI36" s="129"/>
      <c r="GJ36" s="192"/>
      <c r="GK36" s="193"/>
      <c r="GL36" s="72">
        <v>51.44</v>
      </c>
      <c r="GM36" s="72">
        <v>53.08</v>
      </c>
      <c r="GN36" s="72">
        <v>51.44</v>
      </c>
      <c r="GO36" s="72">
        <v>54.99</v>
      </c>
      <c r="GP36" s="14">
        <v>51.44</v>
      </c>
      <c r="GQ36" s="14">
        <v>55.56</v>
      </c>
      <c r="GR36" s="14">
        <v>51.44</v>
      </c>
      <c r="GS36" s="14">
        <v>55.56</v>
      </c>
      <c r="GT36" s="14">
        <v>51.44</v>
      </c>
      <c r="GU36" s="14">
        <v>55.56</v>
      </c>
      <c r="GW36" s="14">
        <v>51.44</v>
      </c>
      <c r="GX36" s="14">
        <v>55.56</v>
      </c>
      <c r="GY36" s="192"/>
      <c r="GZ36" s="193"/>
      <c r="HA36" s="192"/>
      <c r="HB36" s="193"/>
      <c r="HC36" s="129">
        <v>51.44</v>
      </c>
      <c r="HD36" s="129">
        <v>55.12</v>
      </c>
      <c r="HE36" s="129"/>
      <c r="HF36" s="129"/>
      <c r="HG36" s="192"/>
      <c r="HH36" s="193"/>
      <c r="HI36" s="192"/>
      <c r="HJ36" s="193"/>
      <c r="HK36" s="129">
        <v>51.51</v>
      </c>
      <c r="HL36" s="129">
        <v>57.06</v>
      </c>
      <c r="HM36" s="192"/>
      <c r="HN36" s="193"/>
      <c r="HO36" s="72">
        <v>51.51</v>
      </c>
      <c r="HP36" s="72">
        <v>55.24</v>
      </c>
      <c r="HQ36" s="72">
        <v>51.51</v>
      </c>
      <c r="HR36" s="72">
        <v>55.24</v>
      </c>
      <c r="HS36" s="72">
        <v>51.51</v>
      </c>
      <c r="HT36" s="72">
        <v>56.19</v>
      </c>
      <c r="HU36" s="72"/>
      <c r="HV36" s="72"/>
      <c r="HW36" s="72"/>
      <c r="HX36" s="72"/>
      <c r="HY36" s="72">
        <v>51.51</v>
      </c>
      <c r="HZ36" s="72">
        <v>55.68</v>
      </c>
      <c r="IA36" s="72">
        <v>51.51</v>
      </c>
      <c r="IB36" s="72">
        <v>55.68</v>
      </c>
      <c r="IC36" s="148">
        <v>51.51</v>
      </c>
      <c r="ID36" s="148">
        <v>56.69</v>
      </c>
      <c r="IE36" s="148">
        <v>51.51</v>
      </c>
      <c r="IF36" s="148">
        <v>56.69</v>
      </c>
      <c r="IG36" s="148">
        <v>51.51</v>
      </c>
      <c r="IH36" s="148">
        <v>56.69</v>
      </c>
      <c r="II36" s="72">
        <v>51.51</v>
      </c>
      <c r="IJ36" s="72">
        <v>57.13</v>
      </c>
      <c r="IK36" s="192"/>
      <c r="IL36" s="193"/>
      <c r="IM36" s="72">
        <v>51.51</v>
      </c>
      <c r="IN36" s="72">
        <v>57.13</v>
      </c>
      <c r="IO36" s="192"/>
      <c r="IP36" s="193"/>
      <c r="IQ36" s="72">
        <v>51.58</v>
      </c>
      <c r="IR36" s="72">
        <v>56.19</v>
      </c>
      <c r="IS36" s="72">
        <v>51.58</v>
      </c>
      <c r="IT36" s="72">
        <v>56.19</v>
      </c>
      <c r="IU36" s="72">
        <v>51.58</v>
      </c>
      <c r="IV36" s="72">
        <v>56.19</v>
      </c>
      <c r="IW36" s="72">
        <v>51.58</v>
      </c>
      <c r="IX36" s="72">
        <v>58.12</v>
      </c>
      <c r="IY36" s="72">
        <v>51.58</v>
      </c>
      <c r="IZ36" s="72">
        <v>58.12</v>
      </c>
      <c r="JA36" s="72"/>
      <c r="JB36" s="72"/>
      <c r="JC36" s="72"/>
      <c r="JD36" s="72"/>
      <c r="JE36" s="72"/>
      <c r="JF36" s="72"/>
      <c r="JH36" s="72"/>
      <c r="JI36" s="72"/>
      <c r="JJ36" s="72"/>
      <c r="JK36" s="72"/>
      <c r="JL36" s="72"/>
      <c r="JM36" s="72"/>
      <c r="JN36" s="72"/>
      <c r="JO36" s="72"/>
      <c r="JP36" s="72">
        <v>51.64</v>
      </c>
      <c r="JQ36" s="72">
        <v>58.25</v>
      </c>
      <c r="JR36" s="186"/>
      <c r="JS36" s="187"/>
      <c r="JT36" s="72">
        <v>51.64</v>
      </c>
      <c r="JU36" s="72">
        <v>58.25</v>
      </c>
      <c r="JV36" s="72">
        <v>51.64</v>
      </c>
      <c r="JW36" s="72">
        <v>57.94</v>
      </c>
      <c r="JX36" s="72">
        <v>51.64</v>
      </c>
      <c r="JY36" s="72">
        <v>57.94</v>
      </c>
      <c r="JZ36" s="72">
        <v>51.64</v>
      </c>
      <c r="KA36" s="72">
        <v>57.94</v>
      </c>
      <c r="KB36" s="72">
        <v>51.64</v>
      </c>
      <c r="KC36" s="72">
        <v>57.94</v>
      </c>
      <c r="KD36" s="72">
        <v>51.64</v>
      </c>
      <c r="KE36" s="72">
        <v>57.94</v>
      </c>
      <c r="KF36" s="186"/>
      <c r="KG36" s="187"/>
      <c r="KH36" s="72">
        <v>51.64</v>
      </c>
      <c r="KI36" s="72">
        <v>57.94</v>
      </c>
      <c r="KJ36" s="72">
        <v>51.64</v>
      </c>
      <c r="KK36" s="72">
        <v>57.94</v>
      </c>
      <c r="KL36" s="72">
        <v>51.64</v>
      </c>
      <c r="KM36" s="72">
        <v>57.04</v>
      </c>
    </row>
    <row r="37" spans="1:299" x14ac:dyDescent="0.3">
      <c r="A37" s="5">
        <v>33</v>
      </c>
      <c r="B37" s="4" t="s">
        <v>61</v>
      </c>
      <c r="C37" s="6" t="s">
        <v>60</v>
      </c>
      <c r="D37" s="213"/>
      <c r="E37" s="14">
        <f>24672.61+99139.58</f>
        <v>123812.19</v>
      </c>
      <c r="F37" s="216"/>
      <c r="G37" s="14">
        <f>24672.61+99968.6</f>
        <v>124641.21</v>
      </c>
      <c r="H37" s="72">
        <f>24672.61+100354.82</f>
        <v>125027.43000000001</v>
      </c>
      <c r="I37" s="45">
        <f>24672.61+100803.9</f>
        <v>125476.51</v>
      </c>
      <c r="J37" s="22">
        <v>0.24099999999999999</v>
      </c>
      <c r="K37" s="60">
        <v>0.98440000000000005</v>
      </c>
      <c r="L37" s="55">
        <f>24672.61+89231.29</f>
        <v>113903.9</v>
      </c>
      <c r="M37" s="22">
        <v>0.24099999999999999</v>
      </c>
      <c r="N37" s="60">
        <v>0.87160000000000004</v>
      </c>
      <c r="O37" s="45">
        <f>31200.61+76031.75</f>
        <v>107232.36</v>
      </c>
      <c r="P37" s="22">
        <v>0.30470000000000003</v>
      </c>
      <c r="Q37" s="60">
        <v>0.74260000000000004</v>
      </c>
      <c r="R37" s="55">
        <f>31201.43+76480.69</f>
        <v>107682.12</v>
      </c>
      <c r="S37" s="22">
        <v>0.30480000000000002</v>
      </c>
      <c r="T37" s="60">
        <v>0.747</v>
      </c>
      <c r="U37" s="203"/>
      <c r="V37" s="45">
        <f>31203.86+77367.04</f>
        <v>108570.9</v>
      </c>
      <c r="W37" s="22">
        <v>0.30480000000000002</v>
      </c>
      <c r="X37" s="60">
        <v>0.75570000000000004</v>
      </c>
      <c r="Y37" s="45">
        <f>31207.24+77756.14</f>
        <v>108963.38</v>
      </c>
      <c r="Z37" s="77">
        <v>0.30480000000000002</v>
      </c>
      <c r="AA37" s="79">
        <v>0.75949999999999995</v>
      </c>
      <c r="AB37" s="45">
        <f>31400.15+76413.2</f>
        <v>107813.35</v>
      </c>
      <c r="AC37" s="77">
        <v>0.30669999999999997</v>
      </c>
      <c r="AD37" s="79">
        <v>0.74639999999999995</v>
      </c>
      <c r="AE37" s="55">
        <f>36136.15+92030.74</f>
        <v>128166.89000000001</v>
      </c>
      <c r="AF37" s="77">
        <v>0.36299999999999999</v>
      </c>
      <c r="AG37" s="78">
        <v>0.89890000000000003</v>
      </c>
      <c r="AH37" s="14">
        <f>36142.34+43218.23</f>
        <v>79360.570000000007</v>
      </c>
      <c r="AI37" s="22">
        <v>0.35299999999999998</v>
      </c>
      <c r="AJ37" s="22">
        <v>0.42209999999999998</v>
      </c>
      <c r="AK37" s="14">
        <f>37934.34+43606.58</f>
        <v>81540.92</v>
      </c>
      <c r="AL37" s="22">
        <v>0.3705</v>
      </c>
      <c r="AM37" s="22">
        <v>0.4259</v>
      </c>
      <c r="AN37" s="186"/>
      <c r="AO37" s="223"/>
      <c r="AP37" s="187"/>
      <c r="AQ37" s="14">
        <f>38190.34+43540.12</f>
        <v>81730.459999999992</v>
      </c>
      <c r="AR37" s="22">
        <v>0.373</v>
      </c>
      <c r="AS37" s="22">
        <v>0.42530000000000001</v>
      </c>
      <c r="AT37" s="14">
        <f>40942.34+43927.77</f>
        <v>84870.109999999986</v>
      </c>
      <c r="AU37" s="22">
        <v>0.39989999999999998</v>
      </c>
      <c r="AV37" s="22">
        <v>0.42909999999999998</v>
      </c>
      <c r="AW37" s="192"/>
      <c r="AX37" s="193"/>
      <c r="AY37" s="196"/>
      <c r="AZ37" s="192"/>
      <c r="BA37" s="193"/>
      <c r="BB37" s="196"/>
      <c r="BC37" s="14">
        <f>49333.84+41557.25</f>
        <v>90891.09</v>
      </c>
      <c r="BD37" s="22">
        <v>0.4819</v>
      </c>
      <c r="BE37" s="22">
        <v>0.40589999999999998</v>
      </c>
      <c r="BF37" s="14">
        <f>49333.84+42801.72</f>
        <v>92135.56</v>
      </c>
      <c r="BG37" s="22">
        <v>0.4819</v>
      </c>
      <c r="BH37" s="22">
        <v>0.41810000000000003</v>
      </c>
      <c r="BI37" s="228"/>
      <c r="BJ37" s="14">
        <f>49333.84+40751.19</f>
        <v>90085.03</v>
      </c>
      <c r="BK37" s="22">
        <v>0.4819</v>
      </c>
      <c r="BL37" s="22">
        <v>0.39800000000000002</v>
      </c>
      <c r="BM37" s="14">
        <f>49589.94+41203.54</f>
        <v>90793.48000000001</v>
      </c>
      <c r="BN37" s="22">
        <v>0.4844</v>
      </c>
      <c r="BO37" s="22">
        <v>0.40239999999999998</v>
      </c>
      <c r="BP37" s="14">
        <f>49589.84+41584.79</f>
        <v>91174.63</v>
      </c>
      <c r="BQ37" s="22">
        <v>0.4844</v>
      </c>
      <c r="BR37" s="22">
        <v>0.40620000000000001</v>
      </c>
      <c r="BS37" s="14">
        <f>49589.84+43185.43</f>
        <v>92775.26999999999</v>
      </c>
      <c r="BT37" s="22">
        <v>0.4844</v>
      </c>
      <c r="BU37" s="22">
        <v>0.42180000000000001</v>
      </c>
      <c r="BV37" s="14">
        <f>49653.84+43187.58</f>
        <v>92841.42</v>
      </c>
      <c r="BW37" s="22">
        <v>0.48499999999999999</v>
      </c>
      <c r="BX37" s="22">
        <v>0.42180000000000001</v>
      </c>
      <c r="BY37" s="14">
        <f>49653.84+43785.59</f>
        <v>93439.43</v>
      </c>
      <c r="BZ37" s="22">
        <v>0.48499999999999999</v>
      </c>
      <c r="CA37" s="22">
        <v>0.42770000000000002</v>
      </c>
      <c r="CC37" s="72">
        <f>48.55/99.98*100</f>
        <v>48.559711942388475</v>
      </c>
      <c r="CD37" s="72">
        <f>41.31/99.98*100</f>
        <v>41.31826365273055</v>
      </c>
      <c r="CE37" s="72">
        <f>48.87/99.98*100</f>
        <v>48.879775955191036</v>
      </c>
      <c r="CF37" s="72">
        <f>42.26/99.98*100</f>
        <v>42.268453690738141</v>
      </c>
      <c r="CG37" s="72">
        <f>48.87/99.98*100</f>
        <v>48.879775955191036</v>
      </c>
      <c r="CH37" s="72">
        <f>42.69/99.98*100</f>
        <v>42.698539707941585</v>
      </c>
      <c r="CI37" s="72">
        <f>49.3/99.98*100</f>
        <v>49.309861972394472</v>
      </c>
      <c r="CJ37" s="72">
        <f>43.26/99.98*100</f>
        <v>43.268653730746145</v>
      </c>
      <c r="CK37" s="72">
        <f>49.37/99.98*100</f>
        <v>49.379875975195034</v>
      </c>
      <c r="CL37" s="72">
        <f>43.63/99.98*100</f>
        <v>43.638727745549112</v>
      </c>
      <c r="CM37" s="72">
        <f>49.49/99.98*100</f>
        <v>49.499899979996002</v>
      </c>
      <c r="CN37" s="72">
        <f>44.37/99.98*100</f>
        <v>44.378875775155024</v>
      </c>
      <c r="CO37" s="232"/>
      <c r="CP37" s="233"/>
      <c r="CQ37" s="72">
        <f>49.8/99.98*100</f>
        <v>49.809961992398478</v>
      </c>
      <c r="CR37" s="72">
        <f>42.11/99.98*100</f>
        <v>42.118423684736946</v>
      </c>
      <c r="CS37" s="72">
        <f>49.8/99.98*100</f>
        <v>49.809961992398478</v>
      </c>
      <c r="CT37" s="72">
        <f>42.55/99.98*100</f>
        <v>42.558511702340461</v>
      </c>
      <c r="CU37" s="72">
        <f>50.05/99.98*100</f>
        <v>50.060012002400477</v>
      </c>
      <c r="CV37" s="72">
        <f>43.23/99.98*100</f>
        <v>43.238647729545903</v>
      </c>
      <c r="CW37" s="72">
        <f>50.12/99.98*100</f>
        <v>50.130026005201032</v>
      </c>
      <c r="CX37" s="72">
        <f>44.74/99.98*100</f>
        <v>44.74894978995799</v>
      </c>
      <c r="CY37" s="72">
        <f>50.12/99.98*100</f>
        <v>50.130026005201032</v>
      </c>
      <c r="CZ37" s="72">
        <f>45.064/99.98*100</f>
        <v>45.07301460292058</v>
      </c>
      <c r="DA37" s="192"/>
      <c r="DB37" s="193"/>
      <c r="DC37" s="192"/>
      <c r="DD37" s="193"/>
      <c r="DE37" s="72">
        <f>50.12/99.98*100</f>
        <v>50.130026005201032</v>
      </c>
      <c r="DF37" s="72">
        <f>43.75/99.98*100</f>
        <v>43.758751750350065</v>
      </c>
      <c r="DG37" s="72">
        <f>50.12/99.98*100</f>
        <v>50.130026005201032</v>
      </c>
      <c r="DH37" s="72">
        <f>44.26/99.98*100</f>
        <v>44.268853770754149</v>
      </c>
      <c r="DI37" s="72">
        <f>50.12/99.98*100</f>
        <v>50.130026005201032</v>
      </c>
      <c r="DJ37" s="72">
        <f>42.2/99.98*100</f>
        <v>42.208441688337665</v>
      </c>
      <c r="DK37" s="72">
        <f>50.12/99.98*100</f>
        <v>50.130026005201032</v>
      </c>
      <c r="DL37" s="72">
        <f>42.64/99.98*100</f>
        <v>42.648529705941186</v>
      </c>
      <c r="DM37" s="72">
        <f>50.12/99.98*100</f>
        <v>50.130026005201032</v>
      </c>
      <c r="DN37" s="72">
        <f>44.14/99.98*100</f>
        <v>44.148829765953188</v>
      </c>
      <c r="DO37" s="129">
        <f>50.12/99.98*100</f>
        <v>50.130026005201032</v>
      </c>
      <c r="DP37" s="129">
        <f>44.71/99.98*100</f>
        <v>44.718943788757748</v>
      </c>
      <c r="DQ37" s="192"/>
      <c r="DR37" s="193"/>
      <c r="DS37" s="129">
        <f>50.12/99.98*100</f>
        <v>50.130026005201032</v>
      </c>
      <c r="DT37" s="129">
        <f>42.59/99.98*100</f>
        <v>42.598519703940788</v>
      </c>
      <c r="DU37" s="129">
        <f>50.12/99.98*100</f>
        <v>50.130026005201032</v>
      </c>
      <c r="DV37" s="129">
        <f>42.59/99.98*100</f>
        <v>42.598519703940788</v>
      </c>
      <c r="DW37" s="192"/>
      <c r="DX37" s="193"/>
      <c r="DY37" s="129">
        <f>50.12/99.98*100</f>
        <v>50.130026005201032</v>
      </c>
      <c r="DZ37" s="129">
        <f>44.35/99.98*100</f>
        <v>44.358871774354867</v>
      </c>
      <c r="EA37" s="129">
        <f>50.12/99.98*100</f>
        <v>50.130026005201032</v>
      </c>
      <c r="EB37" s="129">
        <f>44.79/99.98*100</f>
        <v>44.798959791958389</v>
      </c>
      <c r="EC37" s="129">
        <f>50.12/99.98*100</f>
        <v>50.130026005201032</v>
      </c>
      <c r="ED37" s="129">
        <f>45.28/99.98*100</f>
        <v>45.289057811562309</v>
      </c>
      <c r="EE37" s="192"/>
      <c r="EF37" s="193"/>
      <c r="EG37" s="14"/>
      <c r="EH37" s="22"/>
      <c r="EI37" s="129">
        <f>50.12/99.98*100</f>
        <v>50.130026005201032</v>
      </c>
      <c r="EJ37" s="129">
        <f>45.01/99.98*100</f>
        <v>45.019003800760146</v>
      </c>
      <c r="EL37" s="72"/>
      <c r="EM37" s="72"/>
      <c r="EN37" s="192"/>
      <c r="EO37" s="193"/>
      <c r="EP37" s="129">
        <f>50.12/99.98*100</f>
        <v>50.130026005201032</v>
      </c>
      <c r="EQ37" s="129">
        <f>46.45/99.98*100</f>
        <v>46.459291858371678</v>
      </c>
      <c r="ER37" s="129">
        <f>50.12/99.98*100</f>
        <v>50.130026005201032</v>
      </c>
      <c r="ES37" s="129">
        <f>46.95/99.98*100</f>
        <v>46.959391878375676</v>
      </c>
      <c r="ET37" s="192"/>
      <c r="EU37" s="193"/>
      <c r="EV37" s="129">
        <f>50.12/99.98*100</f>
        <v>50.130026005201032</v>
      </c>
      <c r="EW37" s="129">
        <f>44.76/99.98*100</f>
        <v>44.768953790758147</v>
      </c>
      <c r="EX37" s="129">
        <f>50.12/99.98*100</f>
        <v>50.130026005201032</v>
      </c>
      <c r="EY37" s="129">
        <f>45.26/99.98*100</f>
        <v>45.269053810762152</v>
      </c>
      <c r="EZ37" s="129">
        <f>50.12/99.98*100</f>
        <v>50.130026005201032</v>
      </c>
      <c r="FA37" s="129">
        <f>45.64/99.98*100</f>
        <v>45.64912982596519</v>
      </c>
      <c r="FB37" s="129">
        <v>50.19</v>
      </c>
      <c r="FC37" s="129">
        <v>47.23</v>
      </c>
      <c r="FD37" s="72">
        <v>50.19</v>
      </c>
      <c r="FE37" s="72">
        <v>47.73</v>
      </c>
      <c r="FF37" s="72">
        <v>50.19</v>
      </c>
      <c r="FG37" s="72">
        <v>48.1</v>
      </c>
      <c r="FH37" s="192"/>
      <c r="FI37" s="193"/>
      <c r="FJ37" s="72">
        <v>50.19</v>
      </c>
      <c r="FK37" s="72">
        <v>46.35</v>
      </c>
      <c r="FL37" s="72">
        <v>50.19</v>
      </c>
      <c r="FM37" s="72">
        <v>46.35</v>
      </c>
      <c r="FN37" s="72">
        <v>50.19</v>
      </c>
      <c r="FO37" s="72">
        <v>47.29</v>
      </c>
      <c r="FP37" s="72">
        <v>50.19</v>
      </c>
      <c r="FQ37" s="72">
        <v>47.74</v>
      </c>
      <c r="FR37" s="72">
        <v>50.19</v>
      </c>
      <c r="FS37" s="72">
        <v>48.47</v>
      </c>
      <c r="FT37" s="192"/>
      <c r="FU37" s="193"/>
      <c r="FV37" s="192"/>
      <c r="FW37" s="193"/>
      <c r="FX37" s="72">
        <v>51.44</v>
      </c>
      <c r="FY37" s="72">
        <v>51.2</v>
      </c>
      <c r="FZ37" s="72">
        <v>51.44</v>
      </c>
      <c r="GA37" s="72">
        <v>51.7</v>
      </c>
      <c r="GB37" s="72">
        <v>51.44</v>
      </c>
      <c r="GC37" s="72">
        <v>52.2</v>
      </c>
      <c r="GD37" s="72">
        <v>51.44</v>
      </c>
      <c r="GE37" s="72">
        <v>52.7</v>
      </c>
      <c r="GF37" s="72">
        <v>51.44</v>
      </c>
      <c r="GG37" s="72">
        <v>53.08</v>
      </c>
      <c r="GH37" s="129"/>
      <c r="GI37" s="129"/>
      <c r="GJ37" s="192"/>
      <c r="GK37" s="193"/>
      <c r="GL37" s="72">
        <v>51.44</v>
      </c>
      <c r="GM37" s="72">
        <v>53.08</v>
      </c>
      <c r="GN37" s="72">
        <v>51.44</v>
      </c>
      <c r="GO37" s="72">
        <v>54.99</v>
      </c>
      <c r="GP37" s="14">
        <v>51.44</v>
      </c>
      <c r="GQ37" s="14">
        <v>55.56</v>
      </c>
      <c r="GR37" s="14">
        <v>51.44</v>
      </c>
      <c r="GS37" s="14">
        <v>55.56</v>
      </c>
      <c r="GT37" s="14">
        <v>51.44</v>
      </c>
      <c r="GU37" s="14">
        <v>55.56</v>
      </c>
      <c r="GW37" s="14">
        <v>51.44</v>
      </c>
      <c r="GX37" s="14">
        <v>55.56</v>
      </c>
      <c r="GY37" s="192"/>
      <c r="GZ37" s="193"/>
      <c r="HA37" s="192"/>
      <c r="HB37" s="193"/>
      <c r="HC37" s="129">
        <v>51.44</v>
      </c>
      <c r="HD37" s="129">
        <v>55.12</v>
      </c>
      <c r="HE37" s="129"/>
      <c r="HF37" s="129"/>
      <c r="HG37" s="192"/>
      <c r="HH37" s="193"/>
      <c r="HI37" s="192"/>
      <c r="HJ37" s="193"/>
      <c r="HK37" s="129">
        <v>51.51</v>
      </c>
      <c r="HL37" s="129">
        <v>57.06</v>
      </c>
      <c r="HM37" s="192"/>
      <c r="HN37" s="193"/>
      <c r="HO37" s="72">
        <v>51.51</v>
      </c>
      <c r="HP37" s="72">
        <v>55.24</v>
      </c>
      <c r="HQ37" s="72">
        <v>51.51</v>
      </c>
      <c r="HR37" s="72">
        <v>55.24</v>
      </c>
      <c r="HS37" s="72">
        <v>51.51</v>
      </c>
      <c r="HT37" s="72">
        <v>56.19</v>
      </c>
      <c r="HU37" s="72"/>
      <c r="HV37" s="72"/>
      <c r="HW37" s="72"/>
      <c r="HX37" s="72"/>
      <c r="HY37" s="72">
        <v>51.51</v>
      </c>
      <c r="HZ37" s="72">
        <v>55.68</v>
      </c>
      <c r="IA37" s="72">
        <v>51.51</v>
      </c>
      <c r="IB37" s="72">
        <v>55.68</v>
      </c>
      <c r="IC37" s="148">
        <v>51.51</v>
      </c>
      <c r="ID37" s="148">
        <v>56.69</v>
      </c>
      <c r="IE37" s="148">
        <v>51.51</v>
      </c>
      <c r="IF37" s="148">
        <v>56.69</v>
      </c>
      <c r="IG37" s="148">
        <v>51.51</v>
      </c>
      <c r="IH37" s="148">
        <v>56.69</v>
      </c>
      <c r="II37" s="72">
        <v>51.51</v>
      </c>
      <c r="IJ37" s="72">
        <v>57.13</v>
      </c>
      <c r="IK37" s="192"/>
      <c r="IL37" s="193"/>
      <c r="IM37" s="72">
        <v>51.51</v>
      </c>
      <c r="IN37" s="72">
        <v>57.13</v>
      </c>
      <c r="IO37" s="192"/>
      <c r="IP37" s="193"/>
      <c r="IQ37" s="72">
        <v>51.58</v>
      </c>
      <c r="IR37" s="72">
        <v>56.19</v>
      </c>
      <c r="IS37" s="72">
        <v>51.58</v>
      </c>
      <c r="IT37" s="72">
        <v>56.19</v>
      </c>
      <c r="IU37" s="72">
        <v>51.58</v>
      </c>
      <c r="IV37" s="72">
        <v>56.19</v>
      </c>
      <c r="IW37" s="72"/>
      <c r="IX37" s="72"/>
      <c r="IY37" s="72"/>
      <c r="IZ37" s="72"/>
      <c r="JA37" s="72">
        <v>51.58</v>
      </c>
      <c r="JB37" s="72">
        <v>59.25</v>
      </c>
      <c r="JC37" s="72"/>
      <c r="JD37" s="72"/>
      <c r="JE37" s="72">
        <v>51.58</v>
      </c>
      <c r="JF37" s="72">
        <v>59.25</v>
      </c>
      <c r="JH37" s="72"/>
      <c r="JI37" s="72"/>
      <c r="JJ37" s="72"/>
      <c r="JK37" s="72"/>
      <c r="JL37" s="72"/>
      <c r="JM37" s="72"/>
      <c r="JN37" s="72"/>
      <c r="JO37" s="72"/>
      <c r="JP37" s="72">
        <v>51.64</v>
      </c>
      <c r="JQ37" s="72">
        <v>58.25</v>
      </c>
      <c r="JR37" s="186"/>
      <c r="JS37" s="187"/>
      <c r="JT37" s="72">
        <v>51.64</v>
      </c>
      <c r="JU37" s="72">
        <v>58.25</v>
      </c>
      <c r="JV37" s="72"/>
      <c r="JW37" s="72"/>
      <c r="JX37" s="72"/>
      <c r="JY37" s="72"/>
      <c r="JZ37" s="72"/>
      <c r="KA37" s="72"/>
      <c r="KB37" s="72"/>
      <c r="KC37" s="72"/>
      <c r="KD37" s="72"/>
      <c r="KE37" s="72"/>
      <c r="KF37" s="186"/>
      <c r="KG37" s="187"/>
      <c r="KH37" s="72"/>
      <c r="KI37" s="72"/>
      <c r="KJ37" s="72"/>
      <c r="KK37" s="72"/>
      <c r="KL37" s="72"/>
      <c r="KM37" s="72"/>
    </row>
    <row r="38" spans="1:299" ht="14.4" hidden="1" customHeight="1" x14ac:dyDescent="0.3">
      <c r="A38" s="28">
        <v>34</v>
      </c>
      <c r="B38" s="29" t="s">
        <v>62</v>
      </c>
      <c r="C38" s="30" t="s">
        <v>63</v>
      </c>
      <c r="D38" s="213"/>
      <c r="E38" s="31"/>
      <c r="F38" s="216"/>
      <c r="G38" s="31"/>
      <c r="H38" s="54"/>
      <c r="I38" s="63"/>
      <c r="J38" s="31"/>
      <c r="K38" s="64"/>
      <c r="L38" s="57"/>
      <c r="M38" s="31"/>
      <c r="N38" s="64"/>
      <c r="O38" s="63"/>
      <c r="P38" s="31"/>
      <c r="Q38" s="64"/>
      <c r="R38" s="57"/>
      <c r="S38" s="31"/>
      <c r="T38" s="64"/>
      <c r="U38" s="203"/>
      <c r="V38" s="63"/>
      <c r="W38" s="31"/>
      <c r="X38" s="64"/>
      <c r="Y38" s="63"/>
      <c r="Z38" s="57"/>
      <c r="AA38" s="82"/>
      <c r="AB38" s="63"/>
      <c r="AC38" s="57"/>
      <c r="AD38" s="82"/>
      <c r="AE38" s="57"/>
      <c r="AF38" s="57"/>
      <c r="AG38" s="57"/>
      <c r="AH38" s="31"/>
      <c r="AI38" s="31"/>
      <c r="AJ38" s="31"/>
      <c r="AK38" s="31"/>
      <c r="AL38" s="31"/>
      <c r="AM38" s="31"/>
      <c r="AN38" s="186"/>
      <c r="AO38" s="223"/>
      <c r="AP38" s="187"/>
      <c r="AQ38" s="31"/>
      <c r="AR38" s="31"/>
      <c r="AS38" s="31"/>
      <c r="AT38" s="31"/>
      <c r="AU38" s="31"/>
      <c r="AV38" s="31"/>
      <c r="AW38" s="192"/>
      <c r="AX38" s="193"/>
      <c r="AY38" s="196"/>
      <c r="AZ38" s="192"/>
      <c r="BA38" s="193"/>
      <c r="BB38" s="196"/>
      <c r="BC38" s="31"/>
      <c r="BD38" s="31"/>
      <c r="BE38" s="31"/>
      <c r="BF38" s="31"/>
      <c r="BG38" s="31"/>
      <c r="BH38" s="31"/>
      <c r="BI38" s="228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C38" s="54"/>
      <c r="CD38" s="54"/>
      <c r="CE38" s="63"/>
      <c r="CF38" s="31"/>
      <c r="CG38" s="57"/>
      <c r="CH38" s="31"/>
      <c r="CI38" s="63"/>
      <c r="CJ38" s="31"/>
      <c r="CK38" s="31"/>
      <c r="CL38" s="64"/>
      <c r="CM38" s="63"/>
      <c r="CN38" s="64"/>
      <c r="CO38" s="232"/>
      <c r="CP38" s="233"/>
      <c r="CQ38" s="63"/>
      <c r="CR38" s="57"/>
      <c r="CS38" s="57"/>
      <c r="CT38" s="57"/>
      <c r="CU38" s="31"/>
      <c r="CV38" s="31"/>
      <c r="CW38" s="31"/>
      <c r="CX38" s="31"/>
      <c r="CY38" s="31"/>
      <c r="CZ38" s="31"/>
      <c r="DA38" s="192"/>
      <c r="DB38" s="193"/>
      <c r="DC38" s="192"/>
      <c r="DD38" s="193"/>
      <c r="DE38" s="31"/>
      <c r="DF38" s="31"/>
      <c r="DG38" s="31"/>
      <c r="DH38" s="31"/>
      <c r="DI38" s="31"/>
      <c r="DJ38" s="31"/>
      <c r="DK38" s="31"/>
      <c r="DL38" s="31"/>
      <c r="DM38" s="31"/>
      <c r="DN38" s="31"/>
      <c r="DO38" s="132"/>
      <c r="DP38" s="132"/>
      <c r="DQ38" s="192"/>
      <c r="DR38" s="193"/>
      <c r="DS38" s="31"/>
      <c r="DT38" s="31"/>
      <c r="DU38" s="31"/>
      <c r="DV38" s="31"/>
      <c r="DW38" s="192"/>
      <c r="DX38" s="193"/>
      <c r="DY38" s="31"/>
      <c r="DZ38" s="31"/>
      <c r="EA38" s="31"/>
      <c r="EB38" s="31"/>
      <c r="EC38" s="31"/>
      <c r="ED38" s="31"/>
      <c r="EE38" s="192"/>
      <c r="EF38" s="193"/>
      <c r="EG38" s="31"/>
      <c r="EH38" s="31"/>
      <c r="EI38" s="31"/>
      <c r="EJ38" s="31"/>
      <c r="EL38" s="54"/>
      <c r="EM38" s="54"/>
      <c r="EN38" s="192"/>
      <c r="EO38" s="193"/>
      <c r="EP38" s="57"/>
      <c r="EQ38" s="31"/>
      <c r="ER38" s="63"/>
      <c r="ES38" s="31"/>
      <c r="ET38" s="192"/>
      <c r="EU38" s="193"/>
      <c r="EV38" s="63"/>
      <c r="EW38" s="31"/>
      <c r="EX38" s="63"/>
      <c r="EY38" s="31"/>
      <c r="EZ38" s="63"/>
      <c r="FA38" s="31"/>
      <c r="FB38" s="63"/>
      <c r="FC38" s="31"/>
      <c r="FD38" s="31"/>
      <c r="FE38" s="31"/>
      <c r="FF38" s="31"/>
      <c r="FG38" s="31"/>
      <c r="FH38" s="192"/>
      <c r="FI38" s="193"/>
      <c r="FJ38" s="31"/>
      <c r="FK38" s="31"/>
      <c r="FL38" s="31"/>
      <c r="FM38" s="31"/>
      <c r="FN38" s="31"/>
      <c r="FO38" s="31"/>
      <c r="FP38" s="31"/>
      <c r="FQ38" s="31"/>
      <c r="FR38" s="31"/>
      <c r="FS38" s="31"/>
      <c r="FT38" s="192"/>
      <c r="FU38" s="193"/>
      <c r="FV38" s="192"/>
      <c r="FW38" s="193"/>
      <c r="FX38" s="31"/>
      <c r="FY38" s="31"/>
      <c r="FZ38" s="31"/>
      <c r="GA38" s="31"/>
      <c r="GB38" s="31"/>
      <c r="GC38" s="31"/>
      <c r="GD38" s="31"/>
      <c r="GE38" s="31"/>
      <c r="GF38" s="31"/>
      <c r="GG38" s="31"/>
      <c r="GH38" s="31"/>
      <c r="GI38" s="31"/>
      <c r="GJ38" s="192"/>
      <c r="GK38" s="193"/>
      <c r="GL38" s="31"/>
      <c r="GM38" s="31"/>
      <c r="GN38" s="31"/>
      <c r="GO38" s="31"/>
      <c r="GP38" s="31"/>
      <c r="GQ38" s="31"/>
      <c r="GR38" s="31"/>
      <c r="GS38" s="31"/>
      <c r="GT38" s="31"/>
      <c r="GU38" s="31"/>
      <c r="GW38" s="31"/>
      <c r="GX38" s="31"/>
      <c r="GY38" s="192"/>
      <c r="GZ38" s="193"/>
      <c r="HA38" s="192"/>
      <c r="HB38" s="193"/>
      <c r="HC38" s="63"/>
      <c r="HD38" s="31"/>
      <c r="HE38" s="63"/>
      <c r="HF38" s="31"/>
      <c r="HG38" s="192"/>
      <c r="HH38" s="193"/>
      <c r="HI38" s="192"/>
      <c r="HJ38" s="193"/>
      <c r="HK38" s="63"/>
      <c r="HL38" s="31"/>
      <c r="HM38" s="192"/>
      <c r="HN38" s="193"/>
      <c r="HO38" s="31"/>
      <c r="HP38" s="31"/>
      <c r="HQ38" s="31"/>
      <c r="HR38" s="31"/>
      <c r="HS38" s="31"/>
      <c r="HT38" s="31"/>
      <c r="HU38" s="31"/>
      <c r="HV38" s="31"/>
      <c r="HW38" s="31"/>
      <c r="HX38" s="31"/>
      <c r="HY38" s="31"/>
      <c r="HZ38" s="31"/>
      <c r="IA38" s="31"/>
      <c r="IB38" s="31"/>
      <c r="IC38" s="31"/>
      <c r="ID38" s="31"/>
      <c r="IE38" s="31"/>
      <c r="IF38" s="31"/>
      <c r="IG38" s="31"/>
      <c r="IH38" s="31"/>
      <c r="II38" s="31"/>
      <c r="IJ38" s="31"/>
      <c r="IK38" s="192"/>
      <c r="IL38" s="193"/>
      <c r="IM38" s="31"/>
      <c r="IN38" s="31"/>
      <c r="IO38" s="192"/>
      <c r="IP38" s="193"/>
      <c r="IQ38" s="31"/>
      <c r="IR38" s="31"/>
      <c r="IS38" s="31"/>
      <c r="IT38" s="31"/>
      <c r="IU38" s="31"/>
      <c r="IV38" s="31"/>
      <c r="IW38" s="31"/>
      <c r="IX38" s="31"/>
      <c r="IY38" s="31"/>
      <c r="IZ38" s="31"/>
      <c r="JA38" s="31"/>
      <c r="JB38" s="31"/>
      <c r="JC38" s="31"/>
      <c r="JD38" s="31"/>
      <c r="JE38" s="31"/>
      <c r="JF38" s="31"/>
      <c r="JH38" s="31"/>
      <c r="JI38" s="31"/>
      <c r="JJ38" s="31"/>
      <c r="JK38" s="31"/>
      <c r="JL38" s="31"/>
      <c r="JM38" s="31"/>
      <c r="JN38" s="31"/>
      <c r="JO38" s="31"/>
      <c r="JP38" s="31"/>
      <c r="JQ38" s="31"/>
      <c r="JR38" s="186"/>
      <c r="JS38" s="187"/>
      <c r="JT38" s="31"/>
      <c r="JU38" s="31"/>
      <c r="JV38" s="31"/>
      <c r="JW38" s="31"/>
      <c r="JX38" s="31"/>
      <c r="JY38" s="31"/>
      <c r="JZ38" s="31"/>
      <c r="KA38" s="31"/>
      <c r="KB38" s="31"/>
      <c r="KC38" s="31"/>
      <c r="KD38" s="31"/>
      <c r="KE38" s="31"/>
      <c r="KF38" s="186"/>
      <c r="KG38" s="187"/>
      <c r="KH38" s="31"/>
      <c r="KI38" s="31"/>
      <c r="KJ38" s="31"/>
      <c r="KK38" s="31"/>
      <c r="KL38" s="31"/>
      <c r="KM38" s="31"/>
    </row>
    <row r="39" spans="1:299" ht="14.4" hidden="1" customHeight="1" x14ac:dyDescent="0.3">
      <c r="A39" s="28">
        <v>35</v>
      </c>
      <c r="B39" s="29" t="s">
        <v>64</v>
      </c>
      <c r="C39" s="30" t="s">
        <v>65</v>
      </c>
      <c r="D39" s="213"/>
      <c r="E39" s="31"/>
      <c r="F39" s="216"/>
      <c r="G39" s="31"/>
      <c r="H39" s="54"/>
      <c r="I39" s="63"/>
      <c r="J39" s="31"/>
      <c r="K39" s="64"/>
      <c r="L39" s="57"/>
      <c r="M39" s="31"/>
      <c r="N39" s="64"/>
      <c r="O39" s="63"/>
      <c r="P39" s="31"/>
      <c r="Q39" s="64"/>
      <c r="R39" s="57"/>
      <c r="S39" s="31"/>
      <c r="T39" s="64"/>
      <c r="U39" s="203"/>
      <c r="V39" s="63"/>
      <c r="W39" s="31"/>
      <c r="X39" s="64"/>
      <c r="Y39" s="63"/>
      <c r="Z39" s="57"/>
      <c r="AA39" s="82"/>
      <c r="AB39" s="63"/>
      <c r="AC39" s="57"/>
      <c r="AD39" s="82"/>
      <c r="AE39" s="57"/>
      <c r="AF39" s="57"/>
      <c r="AG39" s="57"/>
      <c r="AH39" s="31"/>
      <c r="AI39" s="31"/>
      <c r="AJ39" s="31"/>
      <c r="AK39" s="31"/>
      <c r="AL39" s="31"/>
      <c r="AM39" s="31"/>
      <c r="AN39" s="186"/>
      <c r="AO39" s="223"/>
      <c r="AP39" s="187"/>
      <c r="AQ39" s="31"/>
      <c r="AR39" s="31"/>
      <c r="AS39" s="31"/>
      <c r="AT39" s="31"/>
      <c r="AU39" s="31"/>
      <c r="AV39" s="31"/>
      <c r="AW39" s="192"/>
      <c r="AX39" s="193"/>
      <c r="AY39" s="196"/>
      <c r="AZ39" s="192"/>
      <c r="BA39" s="193"/>
      <c r="BB39" s="196"/>
      <c r="BC39" s="31"/>
      <c r="BD39" s="31"/>
      <c r="BE39" s="31"/>
      <c r="BF39" s="31"/>
      <c r="BG39" s="31"/>
      <c r="BH39" s="31"/>
      <c r="BI39" s="228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C39" s="54"/>
      <c r="CD39" s="54"/>
      <c r="CE39" s="63"/>
      <c r="CF39" s="31"/>
      <c r="CG39" s="57"/>
      <c r="CH39" s="31"/>
      <c r="CI39" s="63"/>
      <c r="CJ39" s="31"/>
      <c r="CK39" s="31"/>
      <c r="CL39" s="64"/>
      <c r="CM39" s="63"/>
      <c r="CN39" s="64"/>
      <c r="CO39" s="232"/>
      <c r="CP39" s="233"/>
      <c r="CQ39" s="63"/>
      <c r="CR39" s="57"/>
      <c r="CS39" s="57"/>
      <c r="CT39" s="57"/>
      <c r="CU39" s="31"/>
      <c r="CV39" s="31"/>
      <c r="CW39" s="31"/>
      <c r="CX39" s="31"/>
      <c r="CY39" s="31"/>
      <c r="CZ39" s="31"/>
      <c r="DA39" s="192"/>
      <c r="DB39" s="193"/>
      <c r="DC39" s="192"/>
      <c r="DD39" s="193"/>
      <c r="DE39" s="31"/>
      <c r="DF39" s="31"/>
      <c r="DG39" s="31"/>
      <c r="DH39" s="31"/>
      <c r="DI39" s="31"/>
      <c r="DJ39" s="31"/>
      <c r="DK39" s="31"/>
      <c r="DL39" s="31"/>
      <c r="DM39" s="31"/>
      <c r="DN39" s="31"/>
      <c r="DO39" s="132"/>
      <c r="DP39" s="132"/>
      <c r="DQ39" s="192"/>
      <c r="DR39" s="193"/>
      <c r="DS39" s="31"/>
      <c r="DT39" s="31"/>
      <c r="DU39" s="31"/>
      <c r="DV39" s="31"/>
      <c r="DW39" s="192"/>
      <c r="DX39" s="193"/>
      <c r="DY39" s="31"/>
      <c r="DZ39" s="31"/>
      <c r="EA39" s="31"/>
      <c r="EB39" s="31"/>
      <c r="EC39" s="31"/>
      <c r="ED39" s="31"/>
      <c r="EE39" s="192"/>
      <c r="EF39" s="193"/>
      <c r="EG39" s="31"/>
      <c r="EH39" s="31"/>
      <c r="EI39" s="31"/>
      <c r="EJ39" s="31"/>
      <c r="EL39" s="54"/>
      <c r="EM39" s="54"/>
      <c r="EN39" s="192"/>
      <c r="EO39" s="193"/>
      <c r="EP39" s="57"/>
      <c r="EQ39" s="31"/>
      <c r="ER39" s="63"/>
      <c r="ES39" s="31"/>
      <c r="ET39" s="192"/>
      <c r="EU39" s="193"/>
      <c r="EV39" s="63"/>
      <c r="EW39" s="31"/>
      <c r="EX39" s="63"/>
      <c r="EY39" s="31"/>
      <c r="EZ39" s="63"/>
      <c r="FA39" s="31"/>
      <c r="FB39" s="63"/>
      <c r="FC39" s="31"/>
      <c r="FD39" s="31"/>
      <c r="FE39" s="31"/>
      <c r="FF39" s="31"/>
      <c r="FG39" s="31"/>
      <c r="FH39" s="192"/>
      <c r="FI39" s="193"/>
      <c r="FJ39" s="31"/>
      <c r="FK39" s="31"/>
      <c r="FL39" s="31"/>
      <c r="FM39" s="31"/>
      <c r="FN39" s="31"/>
      <c r="FO39" s="31"/>
      <c r="FP39" s="31"/>
      <c r="FQ39" s="31"/>
      <c r="FR39" s="31"/>
      <c r="FS39" s="31"/>
      <c r="FT39" s="192"/>
      <c r="FU39" s="193"/>
      <c r="FV39" s="192"/>
      <c r="FW39" s="193"/>
      <c r="FX39" s="31"/>
      <c r="FY39" s="31"/>
      <c r="FZ39" s="31"/>
      <c r="GA39" s="31"/>
      <c r="GB39" s="31"/>
      <c r="GC39" s="31"/>
      <c r="GD39" s="31"/>
      <c r="GE39" s="31"/>
      <c r="GF39" s="31"/>
      <c r="GG39" s="31"/>
      <c r="GH39" s="31"/>
      <c r="GI39" s="31"/>
      <c r="GJ39" s="192"/>
      <c r="GK39" s="193"/>
      <c r="GL39" s="31"/>
      <c r="GM39" s="31"/>
      <c r="GN39" s="31"/>
      <c r="GO39" s="31"/>
      <c r="GP39" s="31"/>
      <c r="GQ39" s="31"/>
      <c r="GR39" s="31"/>
      <c r="GS39" s="31"/>
      <c r="GT39" s="31"/>
      <c r="GU39" s="31"/>
      <c r="GW39" s="31"/>
      <c r="GX39" s="31"/>
      <c r="GY39" s="192"/>
      <c r="GZ39" s="193"/>
      <c r="HA39" s="192"/>
      <c r="HB39" s="193"/>
      <c r="HC39" s="63"/>
      <c r="HD39" s="31"/>
      <c r="HE39" s="63"/>
      <c r="HF39" s="31"/>
      <c r="HG39" s="192"/>
      <c r="HH39" s="193"/>
      <c r="HI39" s="192"/>
      <c r="HJ39" s="193"/>
      <c r="HK39" s="63"/>
      <c r="HL39" s="31"/>
      <c r="HM39" s="192"/>
      <c r="HN39" s="193"/>
      <c r="HO39" s="31"/>
      <c r="HP39" s="31"/>
      <c r="HQ39" s="31"/>
      <c r="HR39" s="31"/>
      <c r="HS39" s="31"/>
      <c r="HT39" s="31"/>
      <c r="HU39" s="31"/>
      <c r="HV39" s="31"/>
      <c r="HW39" s="31"/>
      <c r="HX39" s="31"/>
      <c r="HY39" s="31"/>
      <c r="HZ39" s="31"/>
      <c r="IA39" s="31"/>
      <c r="IB39" s="31"/>
      <c r="IC39" s="31"/>
      <c r="ID39" s="31"/>
      <c r="IE39" s="31"/>
      <c r="IF39" s="31"/>
      <c r="IG39" s="31"/>
      <c r="IH39" s="31"/>
      <c r="II39" s="31"/>
      <c r="IJ39" s="31"/>
      <c r="IK39" s="192"/>
      <c r="IL39" s="193"/>
      <c r="IM39" s="31"/>
      <c r="IN39" s="31"/>
      <c r="IO39" s="192"/>
      <c r="IP39" s="193"/>
      <c r="IQ39" s="31"/>
      <c r="IR39" s="31"/>
      <c r="IS39" s="31"/>
      <c r="IT39" s="31"/>
      <c r="IU39" s="31"/>
      <c r="IV39" s="31"/>
      <c r="IW39" s="31"/>
      <c r="IX39" s="31"/>
      <c r="IY39" s="31"/>
      <c r="IZ39" s="31"/>
      <c r="JA39" s="31"/>
      <c r="JB39" s="31"/>
      <c r="JC39" s="31"/>
      <c r="JD39" s="31"/>
      <c r="JE39" s="31"/>
      <c r="JF39" s="31"/>
      <c r="JH39" s="31"/>
      <c r="JI39" s="31"/>
      <c r="JJ39" s="31"/>
      <c r="JK39" s="31"/>
      <c r="JL39" s="31"/>
      <c r="JM39" s="31"/>
      <c r="JN39" s="31"/>
      <c r="JO39" s="31"/>
      <c r="JP39" s="31"/>
      <c r="JQ39" s="31"/>
      <c r="JR39" s="186"/>
      <c r="JS39" s="187"/>
      <c r="JT39" s="31"/>
      <c r="JU39" s="31"/>
      <c r="JV39" s="31"/>
      <c r="JW39" s="31"/>
      <c r="JX39" s="31"/>
      <c r="JY39" s="31"/>
      <c r="JZ39" s="31"/>
      <c r="KA39" s="31"/>
      <c r="KB39" s="31"/>
      <c r="KC39" s="31"/>
      <c r="KD39" s="31"/>
      <c r="KE39" s="31"/>
      <c r="KF39" s="186"/>
      <c r="KG39" s="187"/>
      <c r="KH39" s="31"/>
      <c r="KI39" s="31"/>
      <c r="KJ39" s="31"/>
      <c r="KK39" s="31"/>
      <c r="KL39" s="31"/>
      <c r="KM39" s="31"/>
    </row>
    <row r="40" spans="1:299" ht="15" thickBot="1" x14ac:dyDescent="0.35">
      <c r="A40" s="5">
        <v>36</v>
      </c>
      <c r="B40" s="4" t="s">
        <v>66</v>
      </c>
      <c r="C40" s="6" t="s">
        <v>67</v>
      </c>
      <c r="D40" s="214"/>
      <c r="E40" s="14">
        <f>21078.3+57013.97</f>
        <v>78092.27</v>
      </c>
      <c r="F40" s="217"/>
      <c r="G40" s="14">
        <f>21078.3+56762.22</f>
        <v>77840.52</v>
      </c>
      <c r="H40" s="72">
        <f>21078.3+56965.74</f>
        <v>78044.039999999994</v>
      </c>
      <c r="I40" s="65">
        <f>21078.3+57688.26</f>
        <v>78766.559999999998</v>
      </c>
      <c r="J40" s="66">
        <v>8.2299999999999998E-2</v>
      </c>
      <c r="K40" s="67">
        <v>0.37559999999999999</v>
      </c>
      <c r="L40" s="69">
        <f>21078.3+57745.43</f>
        <v>78823.73</v>
      </c>
      <c r="M40" s="66">
        <v>8.2299999999999998E-2</v>
      </c>
      <c r="N40" s="67">
        <v>0.376</v>
      </c>
      <c r="O40" s="65">
        <f>21078.3+57786.86</f>
        <v>78865.16</v>
      </c>
      <c r="P40" s="66">
        <v>8.2299999999999998E-2</v>
      </c>
      <c r="Q40" s="67">
        <v>0.37630000000000002</v>
      </c>
      <c r="R40" s="69">
        <f>21078.3+57811.89</f>
        <v>78890.19</v>
      </c>
      <c r="S40" s="66">
        <v>8.2299999999999998E-2</v>
      </c>
      <c r="T40" s="67">
        <v>0.37640000000000001</v>
      </c>
      <c r="U40" s="204"/>
      <c r="V40" s="65">
        <f>21078.3+57556.41</f>
        <v>78634.710000000006</v>
      </c>
      <c r="W40" s="66">
        <v>8.2299999999999998E-2</v>
      </c>
      <c r="X40" s="67">
        <v>0.37480000000000002</v>
      </c>
      <c r="Y40" s="65">
        <f>21078.3+57693.08</f>
        <v>78771.38</v>
      </c>
      <c r="Z40" s="83">
        <v>8.2299999999999998E-2</v>
      </c>
      <c r="AA40" s="84">
        <v>0.37569999999999998</v>
      </c>
      <c r="AB40" s="65">
        <f>21078.3+58188.27</f>
        <v>79266.569999999992</v>
      </c>
      <c r="AC40" s="83">
        <v>8.2299999999999998E-2</v>
      </c>
      <c r="AD40" s="84">
        <v>0.37890000000000001</v>
      </c>
      <c r="AE40" s="55">
        <f>21078.3+58235.85</f>
        <v>79314.149999999994</v>
      </c>
      <c r="AF40" s="77">
        <v>8.2299999999999998E-2</v>
      </c>
      <c r="AG40" s="77">
        <v>0.37919999999999998</v>
      </c>
      <c r="AH40" s="14">
        <f>21078.3+58263.88</f>
        <v>79342.179999999993</v>
      </c>
      <c r="AI40" s="22">
        <v>8.2299999999999998E-2</v>
      </c>
      <c r="AJ40" s="22">
        <v>0.37940000000000002</v>
      </c>
      <c r="AK40" s="14">
        <f>21078.3+58287.55</f>
        <v>79365.850000000006</v>
      </c>
      <c r="AL40" s="22">
        <v>8.2299999999999998E-2</v>
      </c>
      <c r="AM40" s="22">
        <v>0.3795</v>
      </c>
      <c r="AN40" s="188"/>
      <c r="AO40" s="224"/>
      <c r="AP40" s="189"/>
      <c r="AQ40" s="14">
        <f>21078.3+58547.07</f>
        <v>79625.37</v>
      </c>
      <c r="AR40" s="22">
        <v>8.2299999999999998E-2</v>
      </c>
      <c r="AS40" s="22">
        <v>0.38119999999999998</v>
      </c>
      <c r="AT40" s="14">
        <f>21078.3+58978.6</f>
        <v>80056.899999999994</v>
      </c>
      <c r="AU40" s="22">
        <v>8.2299999999999998E-2</v>
      </c>
      <c r="AV40" s="22">
        <v>0.38400000000000001</v>
      </c>
      <c r="AW40" s="197"/>
      <c r="AX40" s="198"/>
      <c r="AY40" s="199"/>
      <c r="AZ40" s="197"/>
      <c r="BA40" s="198"/>
      <c r="BB40" s="199"/>
      <c r="BC40" s="14">
        <f>21078.3+60315.97</f>
        <v>81394.27</v>
      </c>
      <c r="BD40" s="22">
        <v>8.2299999999999998E-2</v>
      </c>
      <c r="BE40" s="22">
        <v>0.39269999999999999</v>
      </c>
      <c r="BF40" s="14">
        <f>21078.3+60717.98</f>
        <v>81796.28</v>
      </c>
      <c r="BG40" s="22">
        <v>8.2299999999999998E-2</v>
      </c>
      <c r="BH40" s="22">
        <v>0.39529999999999998</v>
      </c>
      <c r="BI40" s="229"/>
      <c r="BJ40" s="14">
        <f>21078.3+60288.59</f>
        <v>81366.89</v>
      </c>
      <c r="BK40" s="22">
        <v>8.2299999999999998E-2</v>
      </c>
      <c r="BL40" s="22">
        <v>0.39250000000000002</v>
      </c>
      <c r="BM40" s="14">
        <f>21078.3+60554.02</f>
        <v>81632.319999999992</v>
      </c>
      <c r="BN40" s="22">
        <v>8.2299999999999998E-2</v>
      </c>
      <c r="BO40" s="22">
        <v>0.39429999999999998</v>
      </c>
      <c r="BP40" s="14">
        <f>21078.3+61635.11</f>
        <v>82713.41</v>
      </c>
      <c r="BQ40" s="22">
        <v>8.2299999999999998E-2</v>
      </c>
      <c r="BR40" s="22">
        <v>0.40129999999999999</v>
      </c>
      <c r="BS40" s="14">
        <f>21078.3+61695.07</f>
        <v>82773.37</v>
      </c>
      <c r="BT40" s="22">
        <v>8.2299999999999998E-2</v>
      </c>
      <c r="BU40" s="22">
        <v>0.4017</v>
      </c>
      <c r="BV40" s="14">
        <f>21078.3+61723.05</f>
        <v>82801.350000000006</v>
      </c>
      <c r="BW40" s="22">
        <v>8.2299999999999998E-2</v>
      </c>
      <c r="BX40" s="22">
        <v>0.40189999999999998</v>
      </c>
      <c r="BY40" s="14">
        <f>21078.3+61743.6</f>
        <v>82821.899999999994</v>
      </c>
      <c r="BZ40" s="22">
        <v>8.2299999999999998E-2</v>
      </c>
      <c r="CA40" s="22">
        <v>0.40200000000000002</v>
      </c>
      <c r="CC40" s="72">
        <f>20.58/249.98*100</f>
        <v>8.2326586126890149</v>
      </c>
      <c r="CD40" s="72">
        <f>59.88/149.98*100</f>
        <v>39.925323376450201</v>
      </c>
      <c r="CE40" s="72">
        <f>20.58/249.98*100</f>
        <v>8.2326586126890149</v>
      </c>
      <c r="CF40" s="72">
        <f>61.71/149.98*100</f>
        <v>41.145486064808644</v>
      </c>
      <c r="CG40" s="72">
        <f>20.58/249.98*100</f>
        <v>8.2326586126890149</v>
      </c>
      <c r="CH40" s="72">
        <f>61.78/149.98*100</f>
        <v>41.192158954527272</v>
      </c>
      <c r="CI40" s="72">
        <f>20.58/249.98*100</f>
        <v>8.2326586126890149</v>
      </c>
      <c r="CJ40" s="72">
        <f>62.21/149.98*100</f>
        <v>41.478863848513136</v>
      </c>
      <c r="CK40" s="72">
        <f>20.58/249.98*100</f>
        <v>8.2326586126890149</v>
      </c>
      <c r="CL40" s="72">
        <f>63.08/149.98*100</f>
        <v>42.058941192158954</v>
      </c>
      <c r="CM40" s="72">
        <f>20.58/249.98*100</f>
        <v>8.2326586126890149</v>
      </c>
      <c r="CN40" s="72">
        <f>63.12/149.98*100</f>
        <v>42.085611414855315</v>
      </c>
      <c r="CO40" s="234"/>
      <c r="CP40" s="235"/>
      <c r="CQ40" s="72">
        <f>20.58/249.98*100</f>
        <v>8.2326586126890149</v>
      </c>
      <c r="CR40" s="72">
        <f>62.94/149.98*100</f>
        <v>41.965595412721697</v>
      </c>
      <c r="CS40" s="72">
        <f>20.58/249.98*100</f>
        <v>8.2326586126890149</v>
      </c>
      <c r="CT40" s="72">
        <f>62.83/149.98*100</f>
        <v>41.892252300306708</v>
      </c>
      <c r="CU40" s="72">
        <f>20.58/249.98*100</f>
        <v>8.2326586126890149</v>
      </c>
      <c r="CV40" s="72">
        <f>63.57/149.98*100</f>
        <v>42.385651420189362</v>
      </c>
      <c r="CW40" s="72">
        <f>20.58/249.98*100</f>
        <v>8.2326586126890149</v>
      </c>
      <c r="CX40" s="72">
        <f>63.61/149.98*100</f>
        <v>42.412321642885722</v>
      </c>
      <c r="CY40" s="72">
        <f>20.58/249.98*100</f>
        <v>8.2326586126890149</v>
      </c>
      <c r="CZ40" s="72">
        <f>63.64/149.98*100</f>
        <v>42.43232430990799</v>
      </c>
      <c r="DA40" s="192"/>
      <c r="DB40" s="193"/>
      <c r="DC40" s="192"/>
      <c r="DD40" s="193"/>
      <c r="DE40" s="72">
        <f>20.58/249.98*100</f>
        <v>8.2326586126890149</v>
      </c>
      <c r="DF40" s="72">
        <f>64.14/149.98*100</f>
        <v>42.765702093612482</v>
      </c>
      <c r="DG40" s="72">
        <f>20.58/249.98*100</f>
        <v>8.2326586126890149</v>
      </c>
      <c r="DH40" s="72">
        <f>65.18/149.98*100</f>
        <v>43.459127883717834</v>
      </c>
      <c r="DI40" s="72">
        <f>20.58/249.98*100</f>
        <v>8.2326586126890149</v>
      </c>
      <c r="DJ40" s="72">
        <f>65.55/149.98*100</f>
        <v>43.705827443659153</v>
      </c>
      <c r="DK40" s="72">
        <f>20.58/249.98*100</f>
        <v>8.2326586126890149</v>
      </c>
      <c r="DL40" s="72">
        <f>66.11/149.98*100</f>
        <v>44.079210561408189</v>
      </c>
      <c r="DM40" s="72">
        <f>20.58/249.98*100</f>
        <v>8.2326586126890149</v>
      </c>
      <c r="DN40" s="72">
        <f>66.91/149.98*100</f>
        <v>44.612615015335379</v>
      </c>
      <c r="DO40" s="129">
        <f>20.58/249.98*100</f>
        <v>8.2326586126890149</v>
      </c>
      <c r="DP40" s="129">
        <f>66.91/149.98*100</f>
        <v>44.612615015335379</v>
      </c>
      <c r="DQ40" s="192"/>
      <c r="DR40" s="193"/>
      <c r="DS40" s="129">
        <f>20.58/249.98*100</f>
        <v>8.2326586126890149</v>
      </c>
      <c r="DT40" s="129">
        <f>67.48/149.98*100</f>
        <v>44.992665688758507</v>
      </c>
      <c r="DU40" s="129">
        <f>20.58/249.98*100</f>
        <v>8.2326586126890149</v>
      </c>
      <c r="DV40" s="129">
        <f>67.48/149.98*100</f>
        <v>44.992665688758507</v>
      </c>
      <c r="DW40" s="192"/>
      <c r="DX40" s="193"/>
      <c r="DY40" s="129">
        <f>20.58/249.98*100</f>
        <v>8.2326586126890149</v>
      </c>
      <c r="DZ40" s="129">
        <f>69.49/149.98*100</f>
        <v>46.332844379250567</v>
      </c>
      <c r="EA40" s="129">
        <f>20.58/249.98*100</f>
        <v>8.2326586126890149</v>
      </c>
      <c r="EB40" s="129">
        <f>69.52/149.98*100</f>
        <v>46.352847046272835</v>
      </c>
      <c r="EC40" s="129">
        <f>20.58/249.98*100</f>
        <v>8.2326586126890149</v>
      </c>
      <c r="ED40" s="129">
        <f>69.52/149.98*100</f>
        <v>46.352847046272835</v>
      </c>
      <c r="EE40" s="192"/>
      <c r="EF40" s="193"/>
      <c r="EG40" s="14"/>
      <c r="EH40" s="22"/>
      <c r="EI40" s="129">
        <f>20.58/249.98*100</f>
        <v>8.2326586126890149</v>
      </c>
      <c r="EJ40" s="129">
        <f>69.48/149.98*100</f>
        <v>46.326176823576482</v>
      </c>
      <c r="EL40" s="72"/>
      <c r="EM40" s="72"/>
      <c r="EN40" s="192"/>
      <c r="EO40" s="193"/>
      <c r="EP40" s="129">
        <f>20.58/249.98*100</f>
        <v>8.2326586126890149</v>
      </c>
      <c r="EQ40" s="129">
        <f>72.38/149.98*100</f>
        <v>48.259767969062537</v>
      </c>
      <c r="ER40" s="129">
        <f>20.58/249.98*100</f>
        <v>8.2326586126890149</v>
      </c>
      <c r="ES40" s="129">
        <f>72.68/149.98*100</f>
        <v>48.459794639285249</v>
      </c>
      <c r="ET40" s="192"/>
      <c r="EU40" s="193"/>
      <c r="EV40" s="129">
        <f>21.08/249.98*100</f>
        <v>8.4326746139691178</v>
      </c>
      <c r="EW40" s="129">
        <f>72.49/149.98*100</f>
        <v>48.333111081477533</v>
      </c>
      <c r="EX40" s="129">
        <f>21.08/249.98*100</f>
        <v>8.4326746139691178</v>
      </c>
      <c r="EY40" s="129">
        <f>72.73/149.98*100</f>
        <v>48.493132417655694</v>
      </c>
      <c r="EZ40" s="129">
        <f>21.08/249.98*100</f>
        <v>8.4326746139691178</v>
      </c>
      <c r="FA40" s="129">
        <f>72.73/149.98*100</f>
        <v>48.493132417655694</v>
      </c>
      <c r="FB40" s="129">
        <v>8.4600000000000009</v>
      </c>
      <c r="FC40" s="129">
        <v>48.61</v>
      </c>
      <c r="FD40" s="72">
        <v>8.4600000000000009</v>
      </c>
      <c r="FE40" s="72">
        <v>48.59</v>
      </c>
      <c r="FF40" s="72">
        <v>8.4600000000000009</v>
      </c>
      <c r="FG40" s="72">
        <v>48.91</v>
      </c>
      <c r="FH40" s="192"/>
      <c r="FI40" s="193"/>
      <c r="FJ40" s="72">
        <v>8.48</v>
      </c>
      <c r="FK40" s="72">
        <v>48.61</v>
      </c>
      <c r="FL40" s="72">
        <v>8.48</v>
      </c>
      <c r="FM40" s="72">
        <v>48.78</v>
      </c>
      <c r="FN40" s="72">
        <v>8.48</v>
      </c>
      <c r="FO40" s="72">
        <v>50.3</v>
      </c>
      <c r="FP40" s="72">
        <v>8.51</v>
      </c>
      <c r="FQ40" s="72">
        <v>50.34</v>
      </c>
      <c r="FR40" s="72">
        <v>8.51</v>
      </c>
      <c r="FS40" s="72">
        <v>50.34</v>
      </c>
      <c r="FT40" s="192"/>
      <c r="FU40" s="193"/>
      <c r="FV40" s="192"/>
      <c r="FW40" s="193"/>
      <c r="FX40" s="72">
        <v>8.5299999999999994</v>
      </c>
      <c r="FY40" s="72">
        <v>51.26</v>
      </c>
      <c r="FZ40" s="72">
        <v>8.5299999999999994</v>
      </c>
      <c r="GA40" s="72">
        <v>51.42</v>
      </c>
      <c r="GB40" s="72">
        <v>8.5299999999999994</v>
      </c>
      <c r="GC40" s="72">
        <v>51.51</v>
      </c>
      <c r="GD40" s="72">
        <v>8.56</v>
      </c>
      <c r="GE40" s="72">
        <v>51.53</v>
      </c>
      <c r="GF40" s="72">
        <v>8.56</v>
      </c>
      <c r="GG40" s="72">
        <v>51.85</v>
      </c>
      <c r="GH40" s="129"/>
      <c r="GI40" s="129"/>
      <c r="GJ40" s="192"/>
      <c r="GK40" s="193"/>
      <c r="GL40" s="129">
        <v>10.06</v>
      </c>
      <c r="GM40" s="129">
        <v>52.83</v>
      </c>
      <c r="GN40" s="129">
        <v>10.06</v>
      </c>
      <c r="GO40" s="129">
        <v>52.93</v>
      </c>
      <c r="GP40" s="14">
        <v>10.06</v>
      </c>
      <c r="GQ40" s="14">
        <v>53</v>
      </c>
      <c r="GR40" s="14">
        <v>10.06</v>
      </c>
      <c r="GS40" s="14">
        <v>53</v>
      </c>
      <c r="GT40" s="14">
        <v>10.06</v>
      </c>
      <c r="GU40" s="14">
        <v>53.21</v>
      </c>
      <c r="GW40" s="14">
        <v>10.06</v>
      </c>
      <c r="GX40" s="14">
        <v>53.21</v>
      </c>
      <c r="GY40" s="192"/>
      <c r="GZ40" s="193"/>
      <c r="HA40" s="192"/>
      <c r="HB40" s="193"/>
      <c r="HC40" s="129">
        <v>10.06</v>
      </c>
      <c r="HD40" s="129">
        <v>48.88</v>
      </c>
      <c r="HE40" s="129"/>
      <c r="HF40" s="129"/>
      <c r="HG40" s="192"/>
      <c r="HH40" s="193"/>
      <c r="HI40" s="192"/>
      <c r="HJ40" s="193"/>
      <c r="HK40" s="129">
        <v>10.06</v>
      </c>
      <c r="HL40" s="129">
        <v>49.61</v>
      </c>
      <c r="HM40" s="192"/>
      <c r="HN40" s="193"/>
      <c r="HO40" s="72">
        <v>10.06</v>
      </c>
      <c r="HP40" s="72">
        <v>51.48</v>
      </c>
      <c r="HQ40" s="72">
        <v>10.06</v>
      </c>
      <c r="HR40" s="72">
        <v>51.48</v>
      </c>
      <c r="HS40" s="72">
        <v>10.06</v>
      </c>
      <c r="HT40" s="72">
        <v>51.67</v>
      </c>
      <c r="HU40" s="72">
        <v>10.06</v>
      </c>
      <c r="HV40" s="72">
        <v>51.84</v>
      </c>
      <c r="HW40" s="72">
        <v>10.06</v>
      </c>
      <c r="HX40" s="72">
        <v>51.84</v>
      </c>
      <c r="HY40" s="72">
        <v>10.06</v>
      </c>
      <c r="HZ40" s="72">
        <v>53.02</v>
      </c>
      <c r="IA40" s="72">
        <v>10.06</v>
      </c>
      <c r="IB40" s="72">
        <v>53.02</v>
      </c>
      <c r="IC40" s="72">
        <v>10.06</v>
      </c>
      <c r="ID40" s="72">
        <v>53.62</v>
      </c>
      <c r="IE40" s="72">
        <v>10.06</v>
      </c>
      <c r="IF40" s="72">
        <v>53.62</v>
      </c>
      <c r="IG40" s="72">
        <v>10.06</v>
      </c>
      <c r="IH40" s="72">
        <v>53.62</v>
      </c>
      <c r="II40" s="72">
        <v>10.06</v>
      </c>
      <c r="IJ40" s="72">
        <v>53.66</v>
      </c>
      <c r="IK40" s="192"/>
      <c r="IL40" s="193"/>
      <c r="IM40" s="72">
        <v>10.06</v>
      </c>
      <c r="IN40" s="72">
        <v>53.66</v>
      </c>
      <c r="IO40" s="192"/>
      <c r="IP40" s="193"/>
      <c r="IQ40" s="72">
        <v>10.08</v>
      </c>
      <c r="IR40" s="72">
        <v>55.56</v>
      </c>
      <c r="IS40" s="72">
        <v>10.08</v>
      </c>
      <c r="IT40" s="72">
        <v>55.56</v>
      </c>
      <c r="IU40" s="72">
        <v>10.08</v>
      </c>
      <c r="IV40" s="72">
        <v>55.56</v>
      </c>
      <c r="IW40" s="129">
        <v>10.46</v>
      </c>
      <c r="IX40" s="129">
        <v>58.94</v>
      </c>
      <c r="IY40" s="129">
        <v>10.46</v>
      </c>
      <c r="IZ40" s="129">
        <v>58.94</v>
      </c>
      <c r="JA40" s="129">
        <v>10.48</v>
      </c>
      <c r="JB40" s="129">
        <v>61.36</v>
      </c>
      <c r="JC40" s="129"/>
      <c r="JD40" s="129"/>
      <c r="JE40" s="129">
        <v>10.48</v>
      </c>
      <c r="JF40" s="129">
        <v>61.36</v>
      </c>
      <c r="JH40" s="129">
        <v>10.51</v>
      </c>
      <c r="JI40" s="129">
        <v>61.27</v>
      </c>
      <c r="JJ40" s="129">
        <v>10.51</v>
      </c>
      <c r="JK40" s="129">
        <v>61.27</v>
      </c>
      <c r="JL40" s="129">
        <v>10.51</v>
      </c>
      <c r="JM40" s="129">
        <v>61.27</v>
      </c>
      <c r="JN40" s="129">
        <v>10.51</v>
      </c>
      <c r="JO40" s="129">
        <v>61.27</v>
      </c>
      <c r="JP40" s="129">
        <v>10.58</v>
      </c>
      <c r="JQ40" s="129">
        <v>60.21</v>
      </c>
      <c r="JR40" s="186"/>
      <c r="JS40" s="187"/>
      <c r="JT40" s="129">
        <v>10.58</v>
      </c>
      <c r="JU40" s="129">
        <v>60.21</v>
      </c>
      <c r="JV40" s="129">
        <v>10.63</v>
      </c>
      <c r="JW40" s="129">
        <v>62.3</v>
      </c>
      <c r="JX40" s="129">
        <v>10.63</v>
      </c>
      <c r="JY40" s="129">
        <v>62.3</v>
      </c>
      <c r="JZ40" s="129">
        <v>10.63</v>
      </c>
      <c r="KA40" s="129">
        <v>62.3</v>
      </c>
      <c r="KB40" s="129">
        <v>10.63</v>
      </c>
      <c r="KC40" s="129">
        <v>62.3</v>
      </c>
      <c r="KD40" s="129">
        <v>10.63</v>
      </c>
      <c r="KE40" s="129">
        <v>62.3</v>
      </c>
      <c r="KF40" s="186"/>
      <c r="KG40" s="187"/>
      <c r="KH40" s="129">
        <v>10.63</v>
      </c>
      <c r="KI40" s="129">
        <v>62.3</v>
      </c>
      <c r="KJ40" s="129">
        <v>10.63</v>
      </c>
      <c r="KK40" s="129">
        <v>62.3</v>
      </c>
      <c r="KL40" s="129">
        <v>10.76</v>
      </c>
      <c r="KM40" s="129">
        <v>63.87</v>
      </c>
    </row>
    <row r="41" spans="1:299" x14ac:dyDescent="0.3">
      <c r="A41" s="90">
        <v>37</v>
      </c>
      <c r="B41" s="122" t="s">
        <v>79</v>
      </c>
      <c r="C41" s="6" t="s">
        <v>81</v>
      </c>
      <c r="CW41" s="124">
        <f>5600.14/5631.98*100</f>
        <v>99.434657083299314</v>
      </c>
      <c r="CX41" s="124">
        <f>1736.21/3071*100</f>
        <v>56.535656138065782</v>
      </c>
      <c r="CY41" s="124">
        <f>5600.34/5631.98*100</f>
        <v>99.438208232273567</v>
      </c>
      <c r="CZ41" s="124">
        <f>1894.7/3071*100</f>
        <v>61.696515792901337</v>
      </c>
      <c r="DA41" s="192"/>
      <c r="DB41" s="193"/>
      <c r="DC41" s="192"/>
      <c r="DD41" s="193"/>
      <c r="DE41" s="124">
        <f>5601.59/5631.98*100</f>
        <v>99.460402913362628</v>
      </c>
      <c r="DF41" s="124">
        <f>2026.62/3071*100</f>
        <v>65.992184956040376</v>
      </c>
      <c r="DG41" s="124">
        <f>5338.53/5631.98*100</f>
        <v>94.789576667530781</v>
      </c>
      <c r="DH41" s="124">
        <f>770.85/3071*100</f>
        <v>25.100944317811791</v>
      </c>
      <c r="DI41" s="124">
        <f>5339.45/5631.98*100</f>
        <v>94.805911952812338</v>
      </c>
      <c r="DJ41" s="124">
        <f>1006.12/3071*100</f>
        <v>32.761966786063176</v>
      </c>
      <c r="DK41" s="124">
        <f>5340.2/5631.98*100</f>
        <v>94.81922876146578</v>
      </c>
      <c r="DL41" s="124">
        <f>803.6/3071*100</f>
        <v>26.16737219146858</v>
      </c>
      <c r="DM41" s="124">
        <f>5341.63/5631.98*100</f>
        <v>94.844619476631678</v>
      </c>
      <c r="DN41" s="124">
        <f>803.6/3071*100</f>
        <v>26.16737219146858</v>
      </c>
      <c r="DO41" s="133">
        <f>5342.77/5631.98*100</f>
        <v>94.864861025784904</v>
      </c>
      <c r="DP41" s="133">
        <f>1339.76/3071*100</f>
        <v>43.626180397264733</v>
      </c>
      <c r="DQ41" s="192"/>
      <c r="DR41" s="193"/>
      <c r="DS41" s="129">
        <f>5344/5631.98*100</f>
        <v>94.886700591976535</v>
      </c>
      <c r="DT41" s="129">
        <f>1086.47/3071*100</f>
        <v>35.378378378378379</v>
      </c>
      <c r="DU41" s="129">
        <f>5344/5631.98*100</f>
        <v>94.886700591976535</v>
      </c>
      <c r="DV41" s="129">
        <f>1086.47/3071*100</f>
        <v>35.378378378378379</v>
      </c>
      <c r="DW41" s="192"/>
      <c r="DX41" s="193"/>
      <c r="DY41" s="129">
        <f>5347.21/5631.98*100</f>
        <v>94.943696533013267</v>
      </c>
      <c r="DZ41" s="129">
        <f>898.69/3071*100</f>
        <v>29.263757733637252</v>
      </c>
      <c r="EA41" s="129">
        <f>5348.57/5631.98*100</f>
        <v>94.967844346038163</v>
      </c>
      <c r="EB41" s="129">
        <f>1140.16/3071*100</f>
        <v>37.126668837512213</v>
      </c>
      <c r="EC41" s="129">
        <f>5348.57/5631.98*100</f>
        <v>94.967844346038163</v>
      </c>
      <c r="ED41" s="129">
        <f>1361.95/3071*100</f>
        <v>44.348746336698149</v>
      </c>
      <c r="EE41" s="192"/>
      <c r="EF41" s="193"/>
      <c r="EI41" s="129">
        <f>5350.54/5631.98*100</f>
        <v>95.002823163434542</v>
      </c>
      <c r="EJ41" s="129">
        <f>894.585/3071*100</f>
        <v>29.130087919244545</v>
      </c>
      <c r="EN41" s="192"/>
      <c r="EO41" s="193"/>
      <c r="EP41" s="129">
        <f>5351.74/5631.98*100</f>
        <v>95.024130057280033</v>
      </c>
      <c r="EQ41" s="129">
        <f>714.65/3071*100</f>
        <v>23.27092152393357</v>
      </c>
      <c r="ER41" s="129">
        <f>5351.74/5631.98*100</f>
        <v>95.024130057280033</v>
      </c>
      <c r="ES41" s="129">
        <f>895.79/3071*100</f>
        <v>29.169325952458479</v>
      </c>
      <c r="ET41" s="192"/>
      <c r="EU41" s="193"/>
      <c r="EV41" s="129">
        <f>5351.74/5631.98*100</f>
        <v>95.024130057280033</v>
      </c>
      <c r="EW41" s="129">
        <f>1155.11/3071*100</f>
        <v>37.61348095083035</v>
      </c>
      <c r="EX41" s="129">
        <f>5352.47/5631.98*100</f>
        <v>95.037091751036058</v>
      </c>
      <c r="EY41" s="129">
        <f>907.41/3071*100</f>
        <v>29.547704330836861</v>
      </c>
      <c r="EZ41" s="129">
        <f>5353.28/5631.98*100</f>
        <v>95.051473904381766</v>
      </c>
      <c r="FA41" s="129">
        <f>1094/3071*100</f>
        <v>35.623575382611527</v>
      </c>
      <c r="FB41" s="129">
        <v>95.06</v>
      </c>
      <c r="FC41" s="129">
        <v>29.34</v>
      </c>
      <c r="FD41" s="148">
        <v>95.06</v>
      </c>
      <c r="FE41" s="148">
        <v>36.49</v>
      </c>
      <c r="FF41" s="148">
        <v>95.06</v>
      </c>
      <c r="FG41" s="148">
        <v>26.51</v>
      </c>
      <c r="FH41" s="192"/>
      <c r="FI41" s="193"/>
      <c r="FJ41" s="148">
        <v>95.06</v>
      </c>
      <c r="FK41" s="148">
        <v>31.6</v>
      </c>
      <c r="FL41" s="148">
        <v>95.06</v>
      </c>
      <c r="FM41" s="148">
        <v>29.6</v>
      </c>
      <c r="FN41" s="148">
        <v>95.06</v>
      </c>
      <c r="FO41" s="148">
        <v>31.84</v>
      </c>
      <c r="FP41" s="148">
        <v>95.06</v>
      </c>
      <c r="FQ41" s="148">
        <v>27.95</v>
      </c>
      <c r="FR41" s="148">
        <v>95.06</v>
      </c>
      <c r="FS41" s="148">
        <v>29.49</v>
      </c>
      <c r="FT41" s="192"/>
      <c r="FU41" s="193"/>
      <c r="FV41" s="192"/>
      <c r="FW41" s="193"/>
      <c r="FX41" s="148">
        <v>95.06</v>
      </c>
      <c r="FY41" s="148">
        <v>31.76</v>
      </c>
      <c r="FZ41" s="148">
        <v>95.08</v>
      </c>
      <c r="GA41" s="148">
        <v>29.63</v>
      </c>
      <c r="GB41" s="148">
        <v>95.08</v>
      </c>
      <c r="GC41" s="148">
        <v>24.98</v>
      </c>
      <c r="GD41" s="148">
        <v>95.08</v>
      </c>
      <c r="GE41" s="148">
        <v>28.34</v>
      </c>
      <c r="GF41" s="148">
        <v>95.08</v>
      </c>
      <c r="GG41" s="148">
        <v>27.55</v>
      </c>
      <c r="GH41" s="129"/>
      <c r="GI41" s="129"/>
      <c r="GJ41" s="192"/>
      <c r="GK41" s="193"/>
      <c r="GL41" s="129">
        <v>95.08</v>
      </c>
      <c r="GM41" s="129">
        <v>31.27</v>
      </c>
      <c r="GN41" s="129">
        <v>95.08</v>
      </c>
      <c r="GO41" s="129">
        <v>29.07</v>
      </c>
      <c r="GP41" s="14">
        <v>95.08</v>
      </c>
      <c r="GQ41" s="14">
        <v>29.7</v>
      </c>
      <c r="GR41" s="14">
        <v>95.08</v>
      </c>
      <c r="GS41" s="14">
        <v>29.7</v>
      </c>
      <c r="GT41" s="14">
        <v>95.08</v>
      </c>
      <c r="GU41" s="14">
        <v>30.92</v>
      </c>
      <c r="GW41" s="14">
        <v>95.08</v>
      </c>
      <c r="GX41" s="14">
        <v>30.92</v>
      </c>
      <c r="GY41" s="192"/>
      <c r="GZ41" s="193"/>
      <c r="HA41" s="192"/>
      <c r="HB41" s="193"/>
      <c r="HC41" s="129">
        <v>95.08</v>
      </c>
      <c r="HD41" s="129">
        <v>29.03</v>
      </c>
      <c r="HE41" s="129"/>
      <c r="HF41" s="129"/>
      <c r="HG41" s="192"/>
      <c r="HH41" s="193"/>
      <c r="HI41" s="192"/>
      <c r="HJ41" s="193"/>
      <c r="HK41" s="129">
        <v>95.08</v>
      </c>
      <c r="HL41" s="129">
        <v>32.61</v>
      </c>
      <c r="HM41" s="192"/>
      <c r="HN41" s="193"/>
      <c r="HO41" s="148">
        <v>95.08</v>
      </c>
      <c r="HP41" s="148">
        <v>30.99</v>
      </c>
      <c r="HQ41" s="148">
        <v>95.08</v>
      </c>
      <c r="HR41" s="148">
        <v>32.090000000000003</v>
      </c>
      <c r="HS41" s="148">
        <v>95.08</v>
      </c>
      <c r="HT41" s="148">
        <v>32.090000000000003</v>
      </c>
      <c r="HU41" s="148">
        <v>95.08</v>
      </c>
      <c r="HV41" s="148">
        <v>30.38</v>
      </c>
      <c r="HW41" s="148">
        <v>95.08</v>
      </c>
      <c r="HX41" s="148">
        <v>30.38</v>
      </c>
      <c r="HY41" s="148">
        <v>95.08</v>
      </c>
      <c r="HZ41" s="148">
        <v>33.29</v>
      </c>
      <c r="IA41" s="148">
        <v>95.08</v>
      </c>
      <c r="IB41" s="148">
        <v>33.29</v>
      </c>
      <c r="IC41" s="72">
        <v>95.08</v>
      </c>
      <c r="ID41" s="72">
        <v>33.020000000000003</v>
      </c>
      <c r="IE41" s="72">
        <v>95.08</v>
      </c>
      <c r="IF41" s="72">
        <v>33.020000000000003</v>
      </c>
      <c r="IG41" s="72">
        <v>95.08</v>
      </c>
      <c r="IH41" s="72">
        <v>33.020000000000003</v>
      </c>
      <c r="II41" s="148">
        <v>95.08</v>
      </c>
      <c r="IJ41" s="148">
        <v>26.92</v>
      </c>
      <c r="IK41" s="192"/>
      <c r="IL41" s="193"/>
      <c r="IM41" s="148">
        <v>95.08</v>
      </c>
      <c r="IN41" s="148">
        <v>26.92</v>
      </c>
      <c r="IO41" s="192"/>
      <c r="IP41" s="193"/>
      <c r="IQ41" s="148"/>
      <c r="IR41" s="148"/>
      <c r="IS41" s="148"/>
      <c r="IT41" s="148"/>
      <c r="IU41" s="148"/>
      <c r="IV41" s="148"/>
      <c r="IW41" s="129">
        <v>95.09</v>
      </c>
      <c r="IX41" s="129">
        <v>31.76</v>
      </c>
      <c r="IY41" s="129">
        <v>95.09</v>
      </c>
      <c r="IZ41" s="129">
        <v>31.76</v>
      </c>
      <c r="JA41" s="129">
        <v>95.09</v>
      </c>
      <c r="JB41" s="129">
        <v>34.92</v>
      </c>
      <c r="JC41" s="129"/>
      <c r="JD41" s="129"/>
      <c r="JE41" s="129">
        <v>95.09</v>
      </c>
      <c r="JF41" s="129">
        <v>34.92</v>
      </c>
      <c r="JH41" s="129"/>
      <c r="JI41" s="129"/>
      <c r="JJ41" s="129"/>
      <c r="JK41" s="129"/>
      <c r="JL41" s="129"/>
      <c r="JM41" s="129"/>
      <c r="JN41" s="129"/>
      <c r="JO41" s="129"/>
      <c r="JP41" s="129">
        <v>95.1</v>
      </c>
      <c r="JQ41" s="129">
        <v>32.130000000000003</v>
      </c>
      <c r="JR41" s="186"/>
      <c r="JS41" s="187"/>
      <c r="JT41" s="129">
        <v>95.1</v>
      </c>
      <c r="JU41" s="129">
        <v>32.130000000000003</v>
      </c>
      <c r="JV41" s="129">
        <v>95.1</v>
      </c>
      <c r="JW41" s="129">
        <v>30.99</v>
      </c>
      <c r="JX41" s="129">
        <v>95.1</v>
      </c>
      <c r="JY41" s="129">
        <v>30.99</v>
      </c>
      <c r="JZ41" s="129">
        <v>95.1</v>
      </c>
      <c r="KA41" s="129">
        <v>30.99</v>
      </c>
      <c r="KB41" s="129">
        <v>95.1</v>
      </c>
      <c r="KC41" s="129">
        <v>30.99</v>
      </c>
      <c r="KD41" s="129">
        <v>95.1</v>
      </c>
      <c r="KE41" s="129">
        <v>30.99</v>
      </c>
      <c r="KF41" s="186"/>
      <c r="KG41" s="187"/>
      <c r="KH41" s="129">
        <v>95.1</v>
      </c>
      <c r="KI41" s="129">
        <v>30.99</v>
      </c>
      <c r="KJ41" s="129">
        <v>95.1</v>
      </c>
      <c r="KK41" s="129">
        <v>30.99</v>
      </c>
      <c r="KL41" s="129"/>
      <c r="KM41" s="129"/>
    </row>
    <row r="42" spans="1:299" x14ac:dyDescent="0.3">
      <c r="A42" s="90">
        <v>38</v>
      </c>
      <c r="B42" s="122" t="s">
        <v>80</v>
      </c>
      <c r="C42" s="6" t="s">
        <v>81</v>
      </c>
      <c r="CW42" s="124">
        <f>5600.14/5631.98*100</f>
        <v>99.434657083299314</v>
      </c>
      <c r="CX42" s="124">
        <f>1736.21/3071.98*100</f>
        <v>56.517620557425509</v>
      </c>
      <c r="CY42" s="124">
        <f>5600.34/5631.98*100</f>
        <v>99.438208232273567</v>
      </c>
      <c r="CZ42" s="124">
        <f>1894.7/3071*100</f>
        <v>61.696515792901337</v>
      </c>
      <c r="DA42" s="192"/>
      <c r="DB42" s="193"/>
      <c r="DC42" s="192"/>
      <c r="DD42" s="193"/>
      <c r="DE42" s="124">
        <f>5601.59/5631.98*100</f>
        <v>99.460402913362628</v>
      </c>
      <c r="DF42" s="124">
        <f>2026.62/3071*100</f>
        <v>65.992184956040376</v>
      </c>
      <c r="DG42" s="124">
        <f>5338.53/5631.98*100</f>
        <v>94.789576667530781</v>
      </c>
      <c r="DH42" s="124">
        <f>770.85/3071*100</f>
        <v>25.100944317811791</v>
      </c>
      <c r="DI42" s="124">
        <f>5339.45/5631.98*100</f>
        <v>94.805911952812338</v>
      </c>
      <c r="DJ42" s="124">
        <f>1006.12/3071*100</f>
        <v>32.761966786063176</v>
      </c>
      <c r="DK42" s="124">
        <f>5340.2/5631.98*100</f>
        <v>94.81922876146578</v>
      </c>
      <c r="DL42" s="124">
        <f>803.6/3071*100</f>
        <v>26.16737219146858</v>
      </c>
      <c r="DM42" s="124">
        <f>5341.63/5631.98*100</f>
        <v>94.844619476631678</v>
      </c>
      <c r="DN42" s="124">
        <f>803.6/3071*100</f>
        <v>26.16737219146858</v>
      </c>
      <c r="DO42" s="133">
        <f>5342.77/5631.98*100</f>
        <v>94.864861025784904</v>
      </c>
      <c r="DP42" s="133">
        <f>1339.76/3071*100</f>
        <v>43.626180397264733</v>
      </c>
      <c r="DQ42" s="192"/>
      <c r="DR42" s="193"/>
      <c r="DS42" s="129">
        <f>5344/5631.98*100</f>
        <v>94.886700591976535</v>
      </c>
      <c r="DT42" s="129">
        <f>1086.47/3071*100</f>
        <v>35.378378378378379</v>
      </c>
      <c r="DU42" s="129">
        <f>5344/5631.98*100</f>
        <v>94.886700591976535</v>
      </c>
      <c r="DV42" s="129">
        <f>1086.47/3071*100</f>
        <v>35.378378378378379</v>
      </c>
      <c r="DW42" s="192"/>
      <c r="DX42" s="193"/>
      <c r="DY42" s="129">
        <f>5347.21/5631.98*100</f>
        <v>94.943696533013267</v>
      </c>
      <c r="DZ42" s="129">
        <f>898.69/3071*100</f>
        <v>29.263757733637252</v>
      </c>
      <c r="EA42" s="129">
        <f>5348.57/5631.98*100</f>
        <v>94.967844346038163</v>
      </c>
      <c r="EB42" s="129">
        <f>1140.16/3071*100</f>
        <v>37.126668837512213</v>
      </c>
      <c r="EC42" s="129">
        <f>5348.57/5631.98*100</f>
        <v>94.967844346038163</v>
      </c>
      <c r="ED42" s="129">
        <f>1361.95/3071*100</f>
        <v>44.348746336698149</v>
      </c>
      <c r="EE42" s="192"/>
      <c r="EF42" s="193"/>
      <c r="EI42" s="129">
        <f>5350.54/5631.98*100</f>
        <v>95.002823163434542</v>
      </c>
      <c r="EJ42" s="129">
        <f>894.585/3071*100</f>
        <v>29.130087919244545</v>
      </c>
      <c r="EN42" s="192"/>
      <c r="EO42" s="193"/>
      <c r="EP42" s="129">
        <f>5351.74/5631.98*100</f>
        <v>95.024130057280033</v>
      </c>
      <c r="EQ42" s="129">
        <f>714.65/3071*100</f>
        <v>23.27092152393357</v>
      </c>
      <c r="ER42" s="129">
        <f>5351.74/5631.98*100</f>
        <v>95.024130057280033</v>
      </c>
      <c r="ES42" s="129">
        <f>895.79/3071*100</f>
        <v>29.169325952458479</v>
      </c>
      <c r="ET42" s="192"/>
      <c r="EU42" s="193"/>
      <c r="EV42" s="129">
        <f>5351.74/5631.98*100</f>
        <v>95.024130057280033</v>
      </c>
      <c r="EW42" s="129">
        <f>1155.11/3071*100</f>
        <v>37.61348095083035</v>
      </c>
      <c r="EX42" s="129">
        <f>5352.47/5631.98*100</f>
        <v>95.037091751036058</v>
      </c>
      <c r="EY42" s="129">
        <f>907.41/3071*100</f>
        <v>29.547704330836861</v>
      </c>
      <c r="EZ42" s="129">
        <f>5353.28/5631.98*100</f>
        <v>95.051473904381766</v>
      </c>
      <c r="FA42" s="129">
        <f>1094/3071*100</f>
        <v>35.623575382611527</v>
      </c>
      <c r="FB42" s="129">
        <v>95.06</v>
      </c>
      <c r="FC42" s="129">
        <v>29.34</v>
      </c>
      <c r="FD42" s="148">
        <v>95.06</v>
      </c>
      <c r="FE42" s="148">
        <v>36.49</v>
      </c>
      <c r="FF42" s="148">
        <v>95.06</v>
      </c>
      <c r="FG42" s="148">
        <v>26.51</v>
      </c>
      <c r="FH42" s="192"/>
      <c r="FI42" s="193"/>
      <c r="FJ42" s="148">
        <v>95.06</v>
      </c>
      <c r="FK42" s="148">
        <v>31.6</v>
      </c>
      <c r="FL42" s="148">
        <v>95.06</v>
      </c>
      <c r="FM42" s="148">
        <v>29.6</v>
      </c>
      <c r="FN42" s="148">
        <v>95.06</v>
      </c>
      <c r="FO42" s="148">
        <v>31.84</v>
      </c>
      <c r="FP42" s="148">
        <v>95.06</v>
      </c>
      <c r="FQ42" s="148">
        <v>27.95</v>
      </c>
      <c r="FR42" s="148">
        <v>95.06</v>
      </c>
      <c r="FS42" s="148">
        <v>29.49</v>
      </c>
      <c r="FT42" s="192"/>
      <c r="FU42" s="193"/>
      <c r="FV42" s="192"/>
      <c r="FW42" s="193"/>
      <c r="FX42" s="148">
        <v>95.06</v>
      </c>
      <c r="FY42" s="148">
        <v>31.76</v>
      </c>
      <c r="FZ42" s="148">
        <v>95.08</v>
      </c>
      <c r="GA42" s="148">
        <v>29.63</v>
      </c>
      <c r="GB42" s="148">
        <v>95.08</v>
      </c>
      <c r="GC42" s="148">
        <v>24.98</v>
      </c>
      <c r="GD42" s="148">
        <v>95.08</v>
      </c>
      <c r="GE42" s="148">
        <v>28.34</v>
      </c>
      <c r="GF42" s="148">
        <v>95.08</v>
      </c>
      <c r="GG42" s="148">
        <v>27.55</v>
      </c>
      <c r="GH42" s="129"/>
      <c r="GI42" s="129"/>
      <c r="GJ42" s="192"/>
      <c r="GK42" s="193"/>
      <c r="GL42" s="129">
        <v>95.08</v>
      </c>
      <c r="GM42" s="129">
        <v>31.27</v>
      </c>
      <c r="GN42" s="129">
        <v>95.08</v>
      </c>
      <c r="GO42" s="129">
        <v>29.07</v>
      </c>
      <c r="GP42" s="14">
        <v>95.08</v>
      </c>
      <c r="GQ42" s="14">
        <v>29.7</v>
      </c>
      <c r="GR42" s="14">
        <v>95.08</v>
      </c>
      <c r="GS42" s="14">
        <v>29.7</v>
      </c>
      <c r="GT42" s="14">
        <v>95.08</v>
      </c>
      <c r="GU42" s="14">
        <v>30.92</v>
      </c>
      <c r="GW42" s="14">
        <v>95.08</v>
      </c>
      <c r="GX42" s="14">
        <v>30.92</v>
      </c>
      <c r="GY42" s="192"/>
      <c r="GZ42" s="193"/>
      <c r="HA42" s="192"/>
      <c r="HB42" s="193"/>
      <c r="HC42" s="129">
        <v>95.08</v>
      </c>
      <c r="HD42" s="129">
        <v>29.03</v>
      </c>
      <c r="HE42" s="129"/>
      <c r="HF42" s="129"/>
      <c r="HG42" s="192"/>
      <c r="HH42" s="193"/>
      <c r="HI42" s="192"/>
      <c r="HJ42" s="193"/>
      <c r="HK42" s="129">
        <v>95.08</v>
      </c>
      <c r="HL42" s="129">
        <v>32.61</v>
      </c>
      <c r="HM42" s="192"/>
      <c r="HN42" s="193"/>
      <c r="HO42" s="148">
        <v>95.08</v>
      </c>
      <c r="HP42" s="148">
        <v>30.99</v>
      </c>
      <c r="HQ42" s="148">
        <v>95.08</v>
      </c>
      <c r="HR42" s="148">
        <v>32.090000000000003</v>
      </c>
      <c r="HS42" s="148">
        <v>95.08</v>
      </c>
      <c r="HT42" s="148">
        <v>32.090000000000003</v>
      </c>
      <c r="HU42" s="148">
        <v>95.08</v>
      </c>
      <c r="HV42" s="148">
        <v>30.38</v>
      </c>
      <c r="HW42" s="148">
        <v>95.08</v>
      </c>
      <c r="HX42" s="148">
        <v>30.38</v>
      </c>
      <c r="HY42" s="148">
        <v>95.08</v>
      </c>
      <c r="HZ42" s="148">
        <v>33.29</v>
      </c>
      <c r="IA42" s="148">
        <v>95.08</v>
      </c>
      <c r="IB42" s="148">
        <v>33.29</v>
      </c>
      <c r="IC42" s="72">
        <v>95.08</v>
      </c>
      <c r="ID42" s="72">
        <v>33.020000000000003</v>
      </c>
      <c r="IE42" s="72">
        <v>95.08</v>
      </c>
      <c r="IF42" s="72">
        <v>33.020000000000003</v>
      </c>
      <c r="IG42" s="72">
        <v>95.08</v>
      </c>
      <c r="IH42" s="72">
        <v>33.020000000000003</v>
      </c>
      <c r="II42" s="148">
        <v>95.08</v>
      </c>
      <c r="IJ42" s="148">
        <v>26.92</v>
      </c>
      <c r="IK42" s="192"/>
      <c r="IL42" s="193"/>
      <c r="IM42" s="148">
        <v>95.08</v>
      </c>
      <c r="IN42" s="148">
        <v>26.92</v>
      </c>
      <c r="IO42" s="192"/>
      <c r="IP42" s="193"/>
      <c r="IQ42" s="148"/>
      <c r="IR42" s="148"/>
      <c r="IS42" s="148"/>
      <c r="IT42" s="148"/>
      <c r="IU42" s="148"/>
      <c r="IV42" s="148"/>
      <c r="IW42" s="129"/>
      <c r="IX42" s="129"/>
      <c r="IY42" s="129"/>
      <c r="IZ42" s="129"/>
      <c r="JA42" s="129"/>
      <c r="JB42" s="129"/>
      <c r="JC42" s="129"/>
      <c r="JD42" s="129"/>
      <c r="JE42" s="14"/>
      <c r="JF42" s="14"/>
      <c r="JH42" s="14"/>
      <c r="JI42" s="14"/>
      <c r="JJ42" s="14"/>
      <c r="JK42" s="14"/>
      <c r="JL42" s="14"/>
      <c r="JM42" s="14"/>
      <c r="JN42" s="14"/>
      <c r="JO42" s="14"/>
      <c r="JP42" s="14">
        <v>95.1</v>
      </c>
      <c r="JQ42" s="14">
        <v>32.130000000000003</v>
      </c>
      <c r="JR42" s="188"/>
      <c r="JS42" s="189"/>
      <c r="JT42" s="14">
        <v>95.1</v>
      </c>
      <c r="JU42" s="14">
        <v>32.130000000000003</v>
      </c>
      <c r="JV42" s="14">
        <v>95.1</v>
      </c>
      <c r="JW42" s="14">
        <v>30.99</v>
      </c>
      <c r="JX42" s="14">
        <v>95.1</v>
      </c>
      <c r="JY42" s="14">
        <v>30.99</v>
      </c>
      <c r="JZ42" s="14">
        <v>95.1</v>
      </c>
      <c r="KA42" s="14">
        <v>30.99</v>
      </c>
      <c r="KB42" s="14">
        <v>95.1</v>
      </c>
      <c r="KC42" s="14">
        <v>30.99</v>
      </c>
      <c r="KD42" s="14">
        <v>95.1</v>
      </c>
      <c r="KE42" s="14">
        <v>30.99</v>
      </c>
      <c r="KF42" s="188"/>
      <c r="KG42" s="189"/>
      <c r="KH42" s="14">
        <v>95.1</v>
      </c>
      <c r="KI42" s="14">
        <v>30.99</v>
      </c>
      <c r="KJ42" s="14">
        <v>95.1</v>
      </c>
      <c r="KK42" s="14">
        <v>30.99</v>
      </c>
      <c r="KL42" s="72">
        <v>95.09</v>
      </c>
      <c r="KM42" s="72">
        <v>31.2</v>
      </c>
    </row>
    <row r="43" spans="1:299" x14ac:dyDescent="0.3">
      <c r="FX43" s="125"/>
      <c r="FY43" s="125"/>
    </row>
    <row r="44" spans="1:299" x14ac:dyDescent="0.3">
      <c r="FX44" s="125"/>
      <c r="FY44" s="125"/>
    </row>
    <row r="45" spans="1:299" x14ac:dyDescent="0.3">
      <c r="FX45" s="125"/>
      <c r="FY45" s="125"/>
    </row>
    <row r="46" spans="1:299" x14ac:dyDescent="0.3">
      <c r="FX46" s="125"/>
      <c r="FY46" s="125"/>
    </row>
    <row r="47" spans="1:299" x14ac:dyDescent="0.3">
      <c r="FX47" s="125"/>
      <c r="FY47" s="125"/>
    </row>
    <row r="48" spans="1:299" x14ac:dyDescent="0.3">
      <c r="FX48" s="125"/>
      <c r="FY48" s="125"/>
    </row>
    <row r="49" spans="180:181" x14ac:dyDescent="0.3">
      <c r="FX49" s="125"/>
      <c r="FY49" s="125"/>
    </row>
    <row r="50" spans="180:181" x14ac:dyDescent="0.3">
      <c r="FX50" s="125"/>
      <c r="FY50" s="125"/>
    </row>
    <row r="51" spans="180:181" x14ac:dyDescent="0.3">
      <c r="FX51" s="125"/>
      <c r="FY51" s="125"/>
    </row>
    <row r="52" spans="180:181" x14ac:dyDescent="0.3">
      <c r="FX52" s="125"/>
      <c r="FY52" s="125"/>
    </row>
    <row r="53" spans="180:181" x14ac:dyDescent="0.3">
      <c r="FX53" s="125"/>
      <c r="FY53" s="125"/>
    </row>
    <row r="54" spans="180:181" x14ac:dyDescent="0.3">
      <c r="FX54" s="125"/>
      <c r="FY54" s="125"/>
    </row>
    <row r="55" spans="180:181" x14ac:dyDescent="0.3">
      <c r="FX55" s="125"/>
      <c r="FY55" s="125"/>
    </row>
    <row r="56" spans="180:181" x14ac:dyDescent="0.3">
      <c r="FX56" s="125"/>
      <c r="FY56" s="125"/>
    </row>
    <row r="57" spans="180:181" x14ac:dyDescent="0.3">
      <c r="FX57" s="125"/>
      <c r="FY57" s="125"/>
    </row>
  </sheetData>
  <mergeCells count="165">
    <mergeCell ref="JR3:JS3"/>
    <mergeCell ref="JT3:JU3"/>
    <mergeCell ref="JR5:JS42"/>
    <mergeCell ref="JV3:JW3"/>
    <mergeCell ref="JH3:JI3"/>
    <mergeCell ref="HK3:HL3"/>
    <mergeCell ref="HM3:HN3"/>
    <mergeCell ref="IY3:IZ3"/>
    <mergeCell ref="JA3:JB3"/>
    <mergeCell ref="JC3:JD3"/>
    <mergeCell ref="JE3:JF3"/>
    <mergeCell ref="IU3:IV3"/>
    <mergeCell ref="IW3:IX3"/>
    <mergeCell ref="IQ3:IR3"/>
    <mergeCell ref="IS3:IT3"/>
    <mergeCell ref="HO3:HP3"/>
    <mergeCell ref="HQ3:HR3"/>
    <mergeCell ref="HS3:HT3"/>
    <mergeCell ref="HU3:HV3"/>
    <mergeCell ref="HW3:HX3"/>
    <mergeCell ref="HY3:HZ3"/>
    <mergeCell ref="IA3:IB3"/>
    <mergeCell ref="IC3:ID3"/>
    <mergeCell ref="IE3:IF3"/>
    <mergeCell ref="DE3:DF3"/>
    <mergeCell ref="DG3:DH3"/>
    <mergeCell ref="CU3:CV3"/>
    <mergeCell ref="BY3:CA3"/>
    <mergeCell ref="CE3:CF3"/>
    <mergeCell ref="CC3:CD3"/>
    <mergeCell ref="BF3:BH3"/>
    <mergeCell ref="BC3:BE3"/>
    <mergeCell ref="AZ3:BB3"/>
    <mergeCell ref="CS3:CT3"/>
    <mergeCell ref="AQ3:AS3"/>
    <mergeCell ref="DA5:DB42"/>
    <mergeCell ref="DC5:DD42"/>
    <mergeCell ref="BI5:BI40"/>
    <mergeCell ref="CG3:CH3"/>
    <mergeCell ref="CI3:CJ3"/>
    <mergeCell ref="CK3:CL3"/>
    <mergeCell ref="CM3:CN3"/>
    <mergeCell ref="CO3:CP3"/>
    <mergeCell ref="CQ3:CR3"/>
    <mergeCell ref="CO5:CP40"/>
    <mergeCell ref="AW5:AY40"/>
    <mergeCell ref="AW3:AY3"/>
    <mergeCell ref="U5:U40"/>
    <mergeCell ref="V3:X3"/>
    <mergeCell ref="Y3:AA3"/>
    <mergeCell ref="AB3:AD3"/>
    <mergeCell ref="AE3:AG3"/>
    <mergeCell ref="A2:A4"/>
    <mergeCell ref="D5:D40"/>
    <mergeCell ref="F5:F40"/>
    <mergeCell ref="I3:K3"/>
    <mergeCell ref="L3:N3"/>
    <mergeCell ref="B2:B3"/>
    <mergeCell ref="D2:CA2"/>
    <mergeCell ref="BV3:BX3"/>
    <mergeCell ref="BJ3:BL3"/>
    <mergeCell ref="BM3:BO3"/>
    <mergeCell ref="BP3:BR3"/>
    <mergeCell ref="BS3:BU3"/>
    <mergeCell ref="O3:Q3"/>
    <mergeCell ref="R3:T3"/>
    <mergeCell ref="AH3:AJ3"/>
    <mergeCell ref="AK3:AM3"/>
    <mergeCell ref="AN5:AP40"/>
    <mergeCell ref="AT3:AV3"/>
    <mergeCell ref="AN3:AP4"/>
    <mergeCell ref="DS3:DT3"/>
    <mergeCell ref="DU3:DV3"/>
    <mergeCell ref="DW3:DX3"/>
    <mergeCell ref="DY3:DZ3"/>
    <mergeCell ref="EA3:EB3"/>
    <mergeCell ref="DW5:DX42"/>
    <mergeCell ref="EN5:EO42"/>
    <mergeCell ref="AZ5:BB40"/>
    <mergeCell ref="CW3:CX3"/>
    <mergeCell ref="CY3:CZ3"/>
    <mergeCell ref="DA3:DB3"/>
    <mergeCell ref="DC3:DD3"/>
    <mergeCell ref="EC3:ED3"/>
    <mergeCell ref="DI3:DJ3"/>
    <mergeCell ref="DK3:DL3"/>
    <mergeCell ref="DM3:DN3"/>
    <mergeCell ref="DO3:DP3"/>
    <mergeCell ref="DQ3:DR3"/>
    <mergeCell ref="EE5:EF42"/>
    <mergeCell ref="EE3:EF3"/>
    <mergeCell ref="EG3:EH3"/>
    <mergeCell ref="EI3:EJ3"/>
    <mergeCell ref="EL3:EM3"/>
    <mergeCell ref="DQ5:DR42"/>
    <mergeCell ref="IO5:IP42"/>
    <mergeCell ref="HM5:HN42"/>
    <mergeCell ref="ER3:ES3"/>
    <mergeCell ref="EP3:EQ3"/>
    <mergeCell ref="EN3:EO3"/>
    <mergeCell ref="FN3:FO3"/>
    <mergeCell ref="FL3:FM3"/>
    <mergeCell ref="FJ3:FK3"/>
    <mergeCell ref="FH3:FI3"/>
    <mergeCell ref="FF3:FG3"/>
    <mergeCell ref="FZ3:GA3"/>
    <mergeCell ref="FX3:FY3"/>
    <mergeCell ref="FV3:FW3"/>
    <mergeCell ref="FT3:FU3"/>
    <mergeCell ref="FR3:FS3"/>
    <mergeCell ref="FP3:FQ3"/>
    <mergeCell ref="GY5:GZ42"/>
    <mergeCell ref="HA5:HB42"/>
    <mergeCell ref="IG3:IH3"/>
    <mergeCell ref="II3:IJ3"/>
    <mergeCell ref="IK3:IL3"/>
    <mergeCell ref="IM3:IN3"/>
    <mergeCell ref="IO3:IP3"/>
    <mergeCell ref="HG5:HH42"/>
    <mergeCell ref="GJ5:GK42"/>
    <mergeCell ref="GW3:GX3"/>
    <mergeCell ref="GY3:GZ3"/>
    <mergeCell ref="HA3:HB3"/>
    <mergeCell ref="HC3:HD3"/>
    <mergeCell ref="HE3:HF3"/>
    <mergeCell ref="HG3:HH3"/>
    <mergeCell ref="HI3:HJ3"/>
    <mergeCell ref="IK5:IL42"/>
    <mergeCell ref="HI5:HJ42"/>
    <mergeCell ref="JJ3:JK3"/>
    <mergeCell ref="JL3:JM3"/>
    <mergeCell ref="JN3:JO3"/>
    <mergeCell ref="JP3:JQ3"/>
    <mergeCell ref="GT3:GU3"/>
    <mergeCell ref="ET5:EU42"/>
    <mergeCell ref="FT5:FU42"/>
    <mergeCell ref="FV5:FW42"/>
    <mergeCell ref="GR3:GS3"/>
    <mergeCell ref="GP3:GQ3"/>
    <mergeCell ref="GN3:GO3"/>
    <mergeCell ref="GL3:GM3"/>
    <mergeCell ref="GJ3:GK3"/>
    <mergeCell ref="GH3:GI3"/>
    <mergeCell ref="GF3:GG3"/>
    <mergeCell ref="GD3:GE3"/>
    <mergeCell ref="GB3:GC3"/>
    <mergeCell ref="FD3:FE3"/>
    <mergeCell ref="FB3:FC3"/>
    <mergeCell ref="EZ3:FA3"/>
    <mergeCell ref="EX3:EY3"/>
    <mergeCell ref="EV3:EW3"/>
    <mergeCell ref="ET3:EU3"/>
    <mergeCell ref="FH5:FI42"/>
    <mergeCell ref="KP3:KQ3"/>
    <mergeCell ref="KR3:KS3"/>
    <mergeCell ref="KF5:KG42"/>
    <mergeCell ref="JX3:JY3"/>
    <mergeCell ref="JZ3:KA3"/>
    <mergeCell ref="KB3:KC3"/>
    <mergeCell ref="KD3:KE3"/>
    <mergeCell ref="KF3:KG3"/>
    <mergeCell ref="KH3:KI3"/>
    <mergeCell ref="KJ3:KK3"/>
    <mergeCell ref="KL3:KM3"/>
    <mergeCell ref="KN3:KO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2119B-114C-41A2-BED6-F0F99AC730B7}">
  <dimension ref="A2:SA30"/>
  <sheetViews>
    <sheetView tabSelected="1" zoomScale="115" zoomScaleNormal="115" workbookViewId="0">
      <pane xSplit="2" topLeftCell="RP1" activePane="topRight" state="frozen"/>
      <selection pane="topRight" activeCell="RP19" sqref="RL6:RP26"/>
    </sheetView>
  </sheetViews>
  <sheetFormatPr defaultColWidth="9.44140625" defaultRowHeight="14.4" x14ac:dyDescent="0.3"/>
  <cols>
    <col min="1" max="1" width="5" style="125" bestFit="1" customWidth="1"/>
    <col min="2" max="2" width="21.5546875" bestFit="1" customWidth="1"/>
    <col min="3" max="3" width="21.5546875" customWidth="1"/>
    <col min="4" max="4" width="9.6640625" bestFit="1" customWidth="1"/>
    <col min="5" max="5" width="13" bestFit="1" customWidth="1"/>
    <col min="6" max="6" width="9.6640625" bestFit="1" customWidth="1"/>
    <col min="7" max="7" width="12.109375" bestFit="1" customWidth="1"/>
    <col min="8" max="8" width="13" bestFit="1" customWidth="1"/>
    <col min="9" max="9" width="12.5546875" bestFit="1" customWidth="1"/>
    <col min="10" max="10" width="12" bestFit="1" customWidth="1"/>
    <col min="11" max="11" width="11.5546875" bestFit="1" customWidth="1"/>
    <col min="12" max="12" width="12" bestFit="1" customWidth="1"/>
    <col min="13" max="13" width="12.5546875" bestFit="1" customWidth="1"/>
    <col min="14" max="14" width="12" bestFit="1" customWidth="1"/>
    <col min="15" max="15" width="12.5546875" bestFit="1" customWidth="1"/>
    <col min="16" max="16" width="12" bestFit="1" customWidth="1"/>
    <col min="17" max="17" width="11.5546875" bestFit="1" customWidth="1"/>
    <col min="18" max="18" width="7.33203125" bestFit="1" customWidth="1"/>
    <col min="19" max="19" width="11.5546875" bestFit="1" customWidth="1"/>
    <col min="20" max="20" width="12" bestFit="1" customWidth="1"/>
    <col min="21" max="21" width="11.5546875" bestFit="1" customWidth="1"/>
    <col min="22" max="22" width="12" bestFit="1" customWidth="1"/>
    <col min="23" max="23" width="11.5546875" bestFit="1" customWidth="1"/>
    <col min="24" max="24" width="12" bestFit="1" customWidth="1"/>
    <col min="25" max="25" width="11.5546875" bestFit="1" customWidth="1"/>
    <col min="26" max="26" width="13.33203125" customWidth="1"/>
    <col min="27" max="27" width="11.5546875" bestFit="1" customWidth="1"/>
    <col min="28" max="28" width="12.33203125" customWidth="1"/>
    <col min="29" max="29" width="11.5546875" bestFit="1" customWidth="1"/>
    <col min="30" max="30" width="12" bestFit="1" customWidth="1"/>
    <col min="31" max="31" width="11.5546875" bestFit="1" customWidth="1"/>
    <col min="32" max="32" width="7.33203125" bestFit="1" customWidth="1"/>
    <col min="33" max="33" width="11.5546875" bestFit="1" customWidth="1"/>
    <col min="34" max="34" width="13" bestFit="1" customWidth="1"/>
    <col min="35" max="35" width="11.5546875" bestFit="1" customWidth="1"/>
    <col min="36" max="36" width="13" bestFit="1" customWidth="1"/>
    <col min="37" max="37" width="11.5546875" bestFit="1" customWidth="1"/>
    <col min="38" max="38" width="13" bestFit="1" customWidth="1"/>
    <col min="39" max="39" width="13" customWidth="1"/>
    <col min="40" max="40" width="7.33203125" bestFit="1" customWidth="1"/>
    <col min="41" max="41" width="11.5546875" bestFit="1" customWidth="1"/>
    <col min="42" max="42" width="13" bestFit="1" customWidth="1"/>
    <col min="43" max="43" width="12" bestFit="1" customWidth="1"/>
    <col min="44" max="44" width="13" bestFit="1" customWidth="1"/>
    <col min="45" max="45" width="11.5546875" bestFit="1" customWidth="1"/>
    <col min="46" max="46" width="7.33203125" bestFit="1" customWidth="1"/>
    <col min="47" max="47" width="11.5546875" bestFit="1" customWidth="1"/>
    <col min="48" max="48" width="13" bestFit="1" customWidth="1"/>
    <col min="49" max="49" width="11.5546875" bestFit="1" customWidth="1"/>
    <col min="50" max="50" width="13" bestFit="1" customWidth="1"/>
    <col min="51" max="51" width="11.5546875" bestFit="1" customWidth="1"/>
    <col min="52" max="52" width="13" bestFit="1" customWidth="1"/>
    <col min="53" max="53" width="11.5546875" bestFit="1" customWidth="1"/>
    <col min="54" max="54" width="14" customWidth="1"/>
    <col min="55" max="55" width="11.5546875" bestFit="1" customWidth="1"/>
    <col min="56" max="56" width="13" bestFit="1" customWidth="1"/>
    <col min="57" max="57" width="11.5546875" bestFit="1" customWidth="1"/>
    <col min="58" max="58" width="13" bestFit="1" customWidth="1"/>
    <col min="59" max="59" width="11.5546875" bestFit="1" customWidth="1"/>
    <col min="60" max="60" width="10.44140625" customWidth="1"/>
    <col min="61" max="61" width="11.5546875" bestFit="1" customWidth="1"/>
    <col min="63" max="63" width="12.6640625" bestFit="1" customWidth="1"/>
    <col min="64" max="64" width="10.109375" bestFit="1" customWidth="1"/>
    <col min="65" max="65" width="12.6640625" bestFit="1" customWidth="1"/>
    <col min="66" max="66" width="11.44140625" bestFit="1" customWidth="1"/>
    <col min="67" max="67" width="12.6640625" bestFit="1" customWidth="1"/>
    <col min="68" max="68" width="10.109375" bestFit="1" customWidth="1"/>
    <col min="69" max="69" width="12.6640625" bestFit="1" customWidth="1"/>
    <col min="70" max="70" width="11.44140625" bestFit="1" customWidth="1"/>
    <col min="71" max="71" width="12.6640625" bestFit="1" customWidth="1"/>
    <col min="72" max="72" width="10.109375" bestFit="1" customWidth="1"/>
    <col min="73" max="73" width="12.6640625" bestFit="1" customWidth="1"/>
    <col min="74" max="74" width="11.44140625" bestFit="1" customWidth="1"/>
    <col min="75" max="75" width="12.6640625" bestFit="1" customWidth="1"/>
    <col min="76" max="76" width="10.109375" bestFit="1" customWidth="1"/>
    <col min="77" max="77" width="12.6640625" bestFit="1" customWidth="1"/>
    <col min="78" max="78" width="11.44140625" bestFit="1" customWidth="1"/>
    <col min="79" max="79" width="12.6640625" bestFit="1" customWidth="1"/>
    <col min="80" max="80" width="10.109375" bestFit="1" customWidth="1"/>
    <col min="81" max="81" width="12.6640625" bestFit="1" customWidth="1"/>
    <col min="82" max="82" width="11.44140625" bestFit="1" customWidth="1"/>
    <col min="83" max="83" width="12.6640625" bestFit="1" customWidth="1"/>
    <col min="84" max="84" width="11.5546875" bestFit="1" customWidth="1"/>
    <col min="85" max="85" width="12.6640625" bestFit="1" customWidth="1"/>
    <col min="86" max="86" width="11.44140625" bestFit="1" customWidth="1"/>
    <col min="87" max="87" width="4.6640625" bestFit="1" customWidth="1"/>
    <col min="88" max="88" width="4.109375" bestFit="1" customWidth="1"/>
    <col min="89" max="89" width="5.109375" bestFit="1" customWidth="1"/>
    <col min="90" max="90" width="11.44140625" bestFit="1" customWidth="1"/>
    <col min="91" max="91" width="12.6640625" bestFit="1" customWidth="1"/>
    <col min="92" max="92" width="11.5546875" bestFit="1" customWidth="1"/>
    <col min="93" max="93" width="12.6640625" bestFit="1" customWidth="1"/>
    <col min="94" max="94" width="11.44140625" bestFit="1" customWidth="1"/>
    <col min="95" max="95" width="12.6640625" bestFit="1" customWidth="1"/>
    <col min="96" max="96" width="11.5546875" bestFit="1" customWidth="1"/>
    <col min="97" max="97" width="12.6640625" bestFit="1" customWidth="1"/>
    <col min="98" max="98" width="11.44140625" bestFit="1" customWidth="1"/>
    <col min="99" max="99" width="12.6640625" bestFit="1" customWidth="1"/>
    <col min="100" max="100" width="11.5546875" bestFit="1" customWidth="1"/>
    <col min="101" max="101" width="12.6640625" bestFit="1" customWidth="1"/>
    <col min="102" max="102" width="11.44140625" bestFit="1" customWidth="1"/>
    <col min="103" max="103" width="12.6640625" bestFit="1" customWidth="1"/>
    <col min="104" max="104" width="11.5546875" bestFit="1" customWidth="1"/>
    <col min="105" max="105" width="12.6640625" bestFit="1" customWidth="1"/>
    <col min="106" max="106" width="12.21875" bestFit="1" customWidth="1"/>
    <col min="107" max="107" width="12.6640625" bestFit="1" customWidth="1"/>
    <col min="108" max="108" width="11.5546875" bestFit="1" customWidth="1"/>
    <col min="109" max="109" width="12.6640625" bestFit="1" customWidth="1"/>
    <col min="110" max="110" width="11.5546875" bestFit="1" customWidth="1"/>
    <col min="111" max="111" width="4.6640625" bestFit="1" customWidth="1"/>
    <col min="112" max="112" width="4.109375" bestFit="1" customWidth="1"/>
    <col min="113" max="113" width="5.109375" bestFit="1" customWidth="1"/>
    <col min="114" max="114" width="11.44140625" bestFit="1" customWidth="1"/>
    <col min="115" max="115" width="4.6640625" bestFit="1" customWidth="1"/>
    <col min="116" max="116" width="4.109375" bestFit="1" customWidth="1"/>
    <col min="117" max="117" width="5.109375" bestFit="1" customWidth="1"/>
    <col min="118" max="118" width="11.44140625" bestFit="1" customWidth="1"/>
    <col min="119" max="119" width="12.6640625" bestFit="1" customWidth="1"/>
    <col min="120" max="120" width="11.5546875" bestFit="1" customWidth="1"/>
    <col min="121" max="121" width="12.6640625" bestFit="1" customWidth="1"/>
    <col min="122" max="122" width="11.44140625" bestFit="1" customWidth="1"/>
    <col min="123" max="123" width="12.6640625" bestFit="1" customWidth="1"/>
    <col min="124" max="124" width="10.109375" bestFit="1" customWidth="1"/>
    <col min="125" max="125" width="12.6640625" bestFit="1" customWidth="1"/>
    <col min="126" max="126" width="12.21875" bestFit="1" customWidth="1"/>
    <col min="127" max="127" width="12.6640625" bestFit="1" customWidth="1"/>
    <col min="128" max="128" width="11.5546875" bestFit="1" customWidth="1"/>
    <col min="129" max="129" width="12.6640625" bestFit="1" customWidth="1"/>
    <col min="130" max="130" width="11.5546875" bestFit="1" customWidth="1"/>
    <col min="131" max="131" width="12.6640625" bestFit="1" customWidth="1"/>
    <col min="132" max="132" width="11.5546875" bestFit="1" customWidth="1"/>
    <col min="133" max="133" width="12.6640625" bestFit="1" customWidth="1"/>
    <col min="134" max="134" width="12.21875" bestFit="1" customWidth="1"/>
    <col min="135" max="135" width="12.6640625" bestFit="1" customWidth="1"/>
    <col min="136" max="136" width="11.5546875" bestFit="1" customWidth="1"/>
    <col min="137" max="137" width="12.6640625" bestFit="1" customWidth="1"/>
    <col min="138" max="138" width="11.5546875" bestFit="1" customWidth="1"/>
    <col min="139" max="139" width="12.6640625" bestFit="1" customWidth="1"/>
    <col min="140" max="140" width="11.5546875" bestFit="1" customWidth="1"/>
    <col min="141" max="141" width="12.6640625" bestFit="1" customWidth="1"/>
    <col min="142" max="142" width="11.5546875" bestFit="1" customWidth="1"/>
    <col min="143" max="143" width="7.21875" bestFit="1" customWidth="1"/>
    <col min="144" max="144" width="11.44140625" bestFit="1" customWidth="1"/>
    <col min="145" max="145" width="12.6640625" bestFit="1" customWidth="1"/>
    <col min="146" max="146" width="11.5546875" bestFit="1" customWidth="1"/>
    <col min="147" max="149" width="12.6640625" bestFit="1" customWidth="1"/>
    <col min="150" max="150" width="11.5546875" bestFit="1" customWidth="1"/>
    <col min="151" max="151" width="12.6640625" bestFit="1" customWidth="1"/>
    <col min="152" max="152" width="11.44140625" bestFit="1" customWidth="1"/>
    <col min="153" max="153" width="4.109375" bestFit="1" customWidth="1"/>
    <col min="154" max="154" width="5.109375" bestFit="1" customWidth="1"/>
    <col min="155" max="155" width="6.6640625" customWidth="1"/>
    <col min="156" max="156" width="11.44140625" hidden="1" customWidth="1"/>
    <col min="157" max="157" width="12.6640625" bestFit="1" customWidth="1"/>
    <col min="158" max="158" width="11.5546875" bestFit="1" customWidth="1"/>
    <col min="159" max="161" width="12.6640625" bestFit="1" customWidth="1"/>
    <col min="162" max="162" width="11" bestFit="1" customWidth="1"/>
    <col min="163" max="163" width="12.6640625" bestFit="1" customWidth="1"/>
    <col min="164" max="164" width="11.44140625" bestFit="1" customWidth="1"/>
    <col min="165" max="165" width="12.6640625" bestFit="1" customWidth="1"/>
    <col min="166" max="166" width="11" bestFit="1" customWidth="1"/>
    <col min="167" max="167" width="12.6640625" bestFit="1" customWidth="1"/>
    <col min="168" max="168" width="11.44140625" bestFit="1" customWidth="1"/>
    <col min="169" max="169" width="4.6640625" bestFit="1" customWidth="1"/>
    <col min="170" max="170" width="2.21875" customWidth="1"/>
    <col min="171" max="171" width="5.109375" hidden="1" customWidth="1"/>
    <col min="172" max="172" width="11.44140625" hidden="1" customWidth="1"/>
    <col min="173" max="173" width="4.6640625" bestFit="1" customWidth="1"/>
    <col min="174" max="174" width="4.109375" bestFit="1" customWidth="1"/>
    <col min="175" max="175" width="5.109375" bestFit="1" customWidth="1"/>
    <col min="176" max="176" width="11.44140625" bestFit="1" customWidth="1"/>
    <col min="177" max="177" width="12.6640625" bestFit="1" customWidth="1"/>
    <col min="178" max="178" width="11" bestFit="1" customWidth="1"/>
    <col min="179" max="180" width="12.6640625" bestFit="1" customWidth="1"/>
    <col min="182" max="182" width="12.6640625" bestFit="1" customWidth="1"/>
    <col min="183" max="183" width="10.109375" bestFit="1" customWidth="1"/>
    <col min="184" max="184" width="12.6640625" bestFit="1" customWidth="1"/>
    <col min="185" max="185" width="15.77734375" customWidth="1"/>
    <col min="186" max="186" width="12.6640625" bestFit="1" customWidth="1"/>
    <col min="187" max="187" width="10.109375" bestFit="1" customWidth="1"/>
    <col min="188" max="188" width="12.6640625" bestFit="1" customWidth="1"/>
    <col min="189" max="189" width="10.21875" bestFit="1" customWidth="1"/>
    <col min="190" max="190" width="12.6640625" bestFit="1" customWidth="1"/>
    <col min="191" max="191" width="11.5546875" bestFit="1" customWidth="1"/>
    <col min="192" max="192" width="12.6640625" bestFit="1" customWidth="1"/>
    <col min="193" max="193" width="11.44140625" bestFit="1" customWidth="1"/>
    <col min="194" max="194" width="12.6640625" bestFit="1" customWidth="1"/>
    <col min="195" max="195" width="11.5546875" bestFit="1" customWidth="1"/>
    <col min="196" max="196" width="12.6640625" bestFit="1" customWidth="1"/>
    <col min="197" max="197" width="11.44140625" bestFit="1" customWidth="1"/>
    <col min="198" max="198" width="12.6640625" bestFit="1" customWidth="1"/>
    <col min="199" max="199" width="10.109375" bestFit="1" customWidth="1"/>
    <col min="200" max="200" width="12.6640625" bestFit="1" customWidth="1"/>
    <col min="201" max="201" width="10.21875" bestFit="1" customWidth="1"/>
    <col min="202" max="202" width="12.6640625" bestFit="1" customWidth="1"/>
    <col min="203" max="203" width="11.5546875" bestFit="1" customWidth="1"/>
    <col min="204" max="206" width="12.6640625" bestFit="1" customWidth="1"/>
    <col min="207" max="207" width="11.5546875" bestFit="1" customWidth="1"/>
    <col min="208" max="208" width="12.6640625" bestFit="1" customWidth="1"/>
    <col min="209" max="209" width="12.21875" bestFit="1" customWidth="1"/>
    <col min="210" max="210" width="12.6640625" bestFit="1" customWidth="1"/>
    <col min="211" max="211" width="11.5546875" bestFit="1" customWidth="1"/>
    <col min="212" max="212" width="12.6640625" bestFit="1" customWidth="1"/>
    <col min="213" max="213" width="11.44140625" bestFit="1" customWidth="1"/>
    <col min="214" max="214" width="12.6640625" bestFit="1" customWidth="1"/>
    <col min="215" max="215" width="11.5546875" bestFit="1" customWidth="1"/>
    <col min="216" max="216" width="12.6640625" bestFit="1" customWidth="1"/>
    <col min="217" max="217" width="12.21875" bestFit="1" customWidth="1"/>
    <col min="218" max="218" width="12.6640625" bestFit="1" customWidth="1"/>
    <col min="219" max="219" width="11.5546875" bestFit="1" customWidth="1"/>
    <col min="220" max="220" width="12.6640625" bestFit="1" customWidth="1"/>
    <col min="221" max="221" width="11.5546875" bestFit="1" customWidth="1"/>
    <col min="222" max="222" width="12.6640625" bestFit="1" customWidth="1"/>
    <col min="223" max="223" width="11.5546875" bestFit="1" customWidth="1"/>
    <col min="224" max="224" width="12.6640625" bestFit="1" customWidth="1"/>
    <col min="225" max="225" width="13.21875" bestFit="1" customWidth="1"/>
    <col min="226" max="226" width="12.6640625" bestFit="1" customWidth="1"/>
    <col min="227" max="227" width="11.5546875" bestFit="1" customWidth="1"/>
    <col min="228" max="228" width="12.6640625" bestFit="1" customWidth="1"/>
    <col min="229" max="229" width="11.5546875" bestFit="1" customWidth="1"/>
    <col min="230" max="230" width="12.6640625" bestFit="1" customWidth="1"/>
    <col min="231" max="231" width="11.5546875" bestFit="1" customWidth="1"/>
    <col min="232" max="234" width="12.6640625" bestFit="1" customWidth="1"/>
    <col min="235" max="235" width="11" bestFit="1" customWidth="1"/>
    <col min="236" max="236" width="12.6640625" bestFit="1" customWidth="1"/>
    <col min="237" max="237" width="12.21875" bestFit="1" customWidth="1"/>
    <col min="238" max="238" width="12.6640625" bestFit="1" customWidth="1"/>
    <col min="239" max="239" width="11.5546875" bestFit="1" customWidth="1"/>
    <col min="240" max="240" width="12.6640625" bestFit="1" customWidth="1"/>
    <col min="241" max="241" width="10.21875" bestFit="1" customWidth="1"/>
    <col min="242" max="242" width="12.6640625" bestFit="1" customWidth="1"/>
    <col min="243" max="243" width="11" bestFit="1" customWidth="1"/>
    <col min="244" max="244" width="12.6640625" bestFit="1" customWidth="1"/>
    <col min="245" max="245" width="12.21875" bestFit="1" customWidth="1"/>
    <col min="246" max="246" width="12.6640625" bestFit="1" customWidth="1"/>
    <col min="247" max="247" width="11.5546875" bestFit="1" customWidth="1"/>
    <col min="248" max="248" width="12.6640625" bestFit="1" customWidth="1"/>
    <col min="249" max="249" width="11.5546875" bestFit="1" customWidth="1"/>
    <col min="250" max="250" width="12.6640625" bestFit="1" customWidth="1"/>
    <col min="251" max="251" width="0.44140625" customWidth="1"/>
    <col min="252" max="252" width="12.6640625" hidden="1" customWidth="1"/>
    <col min="253" max="253" width="12.21875" hidden="1" customWidth="1"/>
    <col min="254" max="254" width="5.109375" customWidth="1"/>
    <col min="255" max="255" width="11.5546875" hidden="1" customWidth="1"/>
    <col min="256" max="256" width="12.6640625" hidden="1" customWidth="1"/>
    <col min="257" max="257" width="8.109375" customWidth="1"/>
    <col min="258" max="258" width="12.6640625" bestFit="1" customWidth="1"/>
    <col min="259" max="259" width="11.5546875" bestFit="1" customWidth="1"/>
    <col min="260" max="260" width="12.6640625" bestFit="1" customWidth="1"/>
    <col min="261" max="261" width="11.5546875" bestFit="1" customWidth="1"/>
    <col min="262" max="262" width="12.6640625" bestFit="1" customWidth="1"/>
    <col min="263" max="263" width="11.5546875" bestFit="1" customWidth="1"/>
    <col min="264" max="264" width="12.6640625" bestFit="1" customWidth="1"/>
    <col min="265" max="265" width="12.21875" bestFit="1" customWidth="1"/>
    <col min="266" max="266" width="12.6640625" bestFit="1" customWidth="1"/>
    <col min="267" max="267" width="11.5546875" bestFit="1" customWidth="1"/>
    <col min="268" max="268" width="12.6640625" bestFit="1" customWidth="1"/>
    <col min="269" max="269" width="12.21875" bestFit="1" customWidth="1"/>
    <col min="270" max="270" width="12.6640625" bestFit="1" customWidth="1"/>
    <col min="271" max="271" width="11" bestFit="1" customWidth="1"/>
    <col min="272" max="272" width="12.6640625" bestFit="1" customWidth="1"/>
    <col min="273" max="273" width="11.44140625" bestFit="1" customWidth="1"/>
    <col min="274" max="274" width="12.6640625" bestFit="1" customWidth="1"/>
    <col min="275" max="275" width="11" bestFit="1" customWidth="1"/>
    <col min="276" max="276" width="12.6640625" bestFit="1" customWidth="1"/>
    <col min="277" max="277" width="11.44140625" bestFit="1" customWidth="1"/>
    <col min="278" max="278" width="12.6640625" bestFit="1" customWidth="1"/>
    <col min="279" max="279" width="8.77734375" bestFit="1" customWidth="1"/>
    <col min="280" max="280" width="12.6640625" hidden="1" customWidth="1"/>
    <col min="281" max="281" width="11.44140625" hidden="1" customWidth="1"/>
    <col min="282" max="282" width="12.6640625" bestFit="1" customWidth="1"/>
    <col min="283" max="283" width="4" customWidth="1"/>
    <col min="284" max="284" width="12.6640625" hidden="1" customWidth="1"/>
    <col min="285" max="285" width="11.44140625" hidden="1" customWidth="1"/>
    <col min="286" max="286" width="12.6640625" bestFit="1" customWidth="1"/>
    <col min="287" max="287" width="11.33203125" bestFit="1" customWidth="1"/>
    <col min="288" max="288" width="12.6640625" bestFit="1" customWidth="1"/>
    <col min="289" max="290" width="12.33203125" bestFit="1" customWidth="1"/>
    <col min="291" max="291" width="11.33203125" bestFit="1" customWidth="1"/>
    <col min="292" max="292" width="12.33203125" bestFit="1" customWidth="1"/>
    <col min="293" max="293" width="11.5546875" bestFit="1" customWidth="1"/>
    <col min="294" max="294" width="12.33203125" bestFit="1" customWidth="1"/>
    <col min="295" max="295" width="11.33203125" bestFit="1" customWidth="1"/>
    <col min="296" max="296" width="12.33203125" bestFit="1" customWidth="1"/>
    <col min="297" max="297" width="13.109375" bestFit="1" customWidth="1"/>
    <col min="298" max="298" width="12.33203125" bestFit="1" customWidth="1"/>
    <col min="299" max="299" width="11.33203125" bestFit="1" customWidth="1"/>
    <col min="300" max="300" width="12.33203125" bestFit="1" customWidth="1"/>
    <col min="301" max="301" width="11.5546875" bestFit="1" customWidth="1"/>
    <col min="302" max="302" width="12.33203125" bestFit="1" customWidth="1"/>
    <col min="303" max="303" width="11.33203125" bestFit="1" customWidth="1"/>
    <col min="304" max="304" width="12.33203125" bestFit="1" customWidth="1"/>
    <col min="305" max="305" width="11.5546875" bestFit="1" customWidth="1"/>
    <col min="307" max="307" width="12.33203125" bestFit="1" customWidth="1"/>
    <col min="308" max="308" width="11.33203125" bestFit="1" customWidth="1"/>
    <col min="309" max="310" width="12.33203125" bestFit="1" customWidth="1"/>
    <col min="311" max="311" width="4.6640625" bestFit="1" customWidth="1"/>
    <col min="319" max="319" width="12.33203125" bestFit="1" customWidth="1"/>
    <col min="320" max="320" width="11.33203125" bestFit="1" customWidth="1"/>
    <col min="321" max="323" width="12.33203125" bestFit="1" customWidth="1"/>
    <col min="324" max="324" width="11.33203125" bestFit="1" customWidth="1"/>
    <col min="325" max="325" width="12.33203125" bestFit="1" customWidth="1"/>
    <col min="326" max="326" width="11.5546875" bestFit="1" customWidth="1"/>
    <col min="327" max="327" width="4.6640625" bestFit="1" customWidth="1"/>
    <col min="328" max="328" width="4.109375" bestFit="1" customWidth="1"/>
    <col min="335" max="335" width="12.33203125" bestFit="1" customWidth="1"/>
    <col min="336" max="336" width="11.33203125" bestFit="1" customWidth="1"/>
    <col min="337" max="337" width="12.33203125" bestFit="1" customWidth="1"/>
    <col min="338" max="338" width="11.5546875" bestFit="1" customWidth="1"/>
    <col min="343" max="343" width="12.33203125" bestFit="1" customWidth="1"/>
    <col min="344" max="344" width="11.33203125" bestFit="1" customWidth="1"/>
    <col min="345" max="345" width="12.33203125" bestFit="1" customWidth="1"/>
    <col min="346" max="346" width="11.5546875" bestFit="1" customWidth="1"/>
    <col min="347" max="347" width="12.33203125" bestFit="1" customWidth="1"/>
    <col min="348" max="348" width="11.33203125" bestFit="1" customWidth="1"/>
    <col min="349" max="349" width="12.33203125" bestFit="1" customWidth="1"/>
    <col min="350" max="350" width="11.5546875" bestFit="1" customWidth="1"/>
    <col min="351" max="351" width="12.33203125" bestFit="1" customWidth="1"/>
    <col min="352" max="352" width="11.33203125" bestFit="1" customWidth="1"/>
    <col min="353" max="353" width="12.33203125" bestFit="1" customWidth="1"/>
    <col min="354" max="354" width="11.5546875" bestFit="1" customWidth="1"/>
    <col min="355" max="355" width="12.6640625" bestFit="1" customWidth="1"/>
    <col min="356" max="356" width="11.5546875" bestFit="1" customWidth="1"/>
    <col min="357" max="357" width="12.6640625" bestFit="1" customWidth="1"/>
    <col min="358" max="358" width="11.44140625" bestFit="1" customWidth="1"/>
    <col min="359" max="359" width="12.6640625" bestFit="1" customWidth="1"/>
    <col min="360" max="360" width="11.5546875" bestFit="1" customWidth="1"/>
    <col min="361" max="361" width="12.6640625" bestFit="1" customWidth="1"/>
    <col min="362" max="362" width="11.44140625" bestFit="1" customWidth="1"/>
    <col min="363" max="363" width="4.6640625" bestFit="1" customWidth="1"/>
    <col min="371" max="371" width="12.6640625" bestFit="1" customWidth="1"/>
    <col min="372" max="372" width="11.5546875" bestFit="1" customWidth="1"/>
    <col min="375" max="375" width="12.6640625" bestFit="1" customWidth="1"/>
    <col min="376" max="376" width="11.5546875" bestFit="1" customWidth="1"/>
    <col min="379" max="379" width="12.6640625" bestFit="1" customWidth="1"/>
    <col min="380" max="380" width="11.5546875" bestFit="1" customWidth="1"/>
    <col min="381" max="381" width="12.6640625" bestFit="1" customWidth="1"/>
    <col min="382" max="382" width="11.44140625" bestFit="1" customWidth="1"/>
    <col min="383" max="383" width="12.6640625" bestFit="1" customWidth="1"/>
    <col min="384" max="384" width="11.5546875" bestFit="1" customWidth="1"/>
    <col min="385" max="385" width="12.6640625" bestFit="1" customWidth="1"/>
    <col min="386" max="386" width="11.44140625" bestFit="1" customWidth="1"/>
    <col min="387" max="387" width="12.6640625" bestFit="1" customWidth="1"/>
    <col min="388" max="388" width="11.5546875" bestFit="1" customWidth="1"/>
    <col min="389" max="389" width="12.6640625" bestFit="1" customWidth="1"/>
    <col min="390" max="390" width="11.44140625" bestFit="1" customWidth="1"/>
    <col min="391" max="391" width="12.6640625" bestFit="1" customWidth="1"/>
    <col min="392" max="392" width="11.5546875" bestFit="1" customWidth="1"/>
    <col min="393" max="393" width="12.6640625" bestFit="1" customWidth="1"/>
    <col min="394" max="394" width="11.44140625" bestFit="1" customWidth="1"/>
    <col min="399" max="399" width="12.6640625" bestFit="1" customWidth="1"/>
    <col min="400" max="400" width="11.5546875" bestFit="1" customWidth="1"/>
    <col min="401" max="401" width="12.6640625" bestFit="1" customWidth="1"/>
    <col min="402" max="402" width="11.44140625" bestFit="1" customWidth="1"/>
    <col min="403" max="403" width="12.6640625" bestFit="1" customWidth="1"/>
    <col min="404" max="404" width="11.5546875" bestFit="1" customWidth="1"/>
    <col min="405" max="405" width="12.6640625" bestFit="1" customWidth="1"/>
    <col min="406" max="406" width="11.44140625" bestFit="1" customWidth="1"/>
    <col min="407" max="407" width="12.6640625" bestFit="1" customWidth="1"/>
    <col min="408" max="408" width="11.5546875" bestFit="1" customWidth="1"/>
    <col min="409" max="409" width="12.6640625" bestFit="1" customWidth="1"/>
    <col min="410" max="410" width="11.44140625" bestFit="1" customWidth="1"/>
    <col min="411" max="411" width="12.6640625" bestFit="1" customWidth="1"/>
    <col min="412" max="412" width="11.5546875" bestFit="1" customWidth="1"/>
    <col min="413" max="413" width="12.6640625" bestFit="1" customWidth="1"/>
    <col min="414" max="414" width="11.44140625" bestFit="1" customWidth="1"/>
    <col min="415" max="415" width="12.6640625" bestFit="1" customWidth="1"/>
    <col min="416" max="416" width="11.5546875" bestFit="1" customWidth="1"/>
    <col min="417" max="417" width="12.6640625" bestFit="1" customWidth="1"/>
    <col min="418" max="418" width="11.44140625" bestFit="1" customWidth="1"/>
    <col min="419" max="419" width="12.6640625" bestFit="1" customWidth="1"/>
    <col min="420" max="420" width="11.5546875" bestFit="1" customWidth="1"/>
    <col min="421" max="421" width="12.6640625" bestFit="1" customWidth="1"/>
    <col min="422" max="422" width="11.44140625" bestFit="1" customWidth="1"/>
    <col min="432" max="432" width="12.6640625" bestFit="1" customWidth="1"/>
    <col min="433" max="433" width="11.5546875" bestFit="1" customWidth="1"/>
    <col min="434" max="434" width="12.6640625" bestFit="1" customWidth="1"/>
    <col min="435" max="435" width="11.44140625" bestFit="1" customWidth="1"/>
    <col min="436" max="436" width="12.6640625" bestFit="1" customWidth="1"/>
    <col min="437" max="437" width="11.5546875" bestFit="1" customWidth="1"/>
    <col min="438" max="438" width="12.6640625" bestFit="1" customWidth="1"/>
    <col min="439" max="439" width="11.44140625" bestFit="1" customWidth="1"/>
    <col min="440" max="440" width="12.6640625" bestFit="1" customWidth="1"/>
    <col min="441" max="441" width="11.5546875" bestFit="1" customWidth="1"/>
    <col min="442" max="442" width="12.6640625" bestFit="1" customWidth="1"/>
    <col min="443" max="443" width="11.44140625" bestFit="1" customWidth="1"/>
    <col min="444" max="444" width="12.6640625" bestFit="1" customWidth="1"/>
    <col min="445" max="445" width="11.5546875" bestFit="1" customWidth="1"/>
    <col min="446" max="446" width="12.6640625" bestFit="1" customWidth="1"/>
    <col min="447" max="447" width="11.44140625" bestFit="1" customWidth="1"/>
    <col min="448" max="448" width="12.6640625" bestFit="1" customWidth="1"/>
    <col min="449" max="449" width="11.5546875" bestFit="1" customWidth="1"/>
    <col min="450" max="450" width="12.6640625" bestFit="1" customWidth="1"/>
    <col min="451" max="451" width="11.44140625" bestFit="1" customWidth="1"/>
    <col min="452" max="452" width="12.6640625" bestFit="1" customWidth="1"/>
    <col min="453" max="453" width="11.5546875" bestFit="1" customWidth="1"/>
    <col min="454" max="454" width="12.6640625" bestFit="1" customWidth="1"/>
    <col min="455" max="455" width="11.44140625" bestFit="1" customWidth="1"/>
    <col min="456" max="456" width="12.6640625" bestFit="1" customWidth="1"/>
    <col min="457" max="457" width="11.5546875" bestFit="1" customWidth="1"/>
    <col min="458" max="458" width="12.6640625" bestFit="1" customWidth="1"/>
    <col min="459" max="459" width="11.44140625" bestFit="1" customWidth="1"/>
    <col min="460" max="460" width="12.6640625" bestFit="1" customWidth="1"/>
    <col min="461" max="461" width="11.5546875" bestFit="1" customWidth="1"/>
    <col min="462" max="462" width="12.6640625" bestFit="1" customWidth="1"/>
    <col min="463" max="463" width="11.44140625" bestFit="1" customWidth="1"/>
    <col min="464" max="464" width="12.6640625" bestFit="1" customWidth="1"/>
    <col min="465" max="465" width="11.5546875" bestFit="1" customWidth="1"/>
    <col min="466" max="466" width="12.6640625" bestFit="1" customWidth="1"/>
    <col min="467" max="467" width="11.44140625" bestFit="1" customWidth="1"/>
    <col min="468" max="468" width="12.6640625" bestFit="1" customWidth="1"/>
    <col min="469" max="469" width="11.5546875" bestFit="1" customWidth="1"/>
    <col min="470" max="470" width="12.6640625" bestFit="1" customWidth="1"/>
    <col min="471" max="471" width="11.44140625" bestFit="1" customWidth="1"/>
    <col min="472" max="472" width="12.6640625" bestFit="1" customWidth="1"/>
    <col min="473" max="473" width="11.5546875" bestFit="1" customWidth="1"/>
    <col min="474" max="474" width="12.6640625" bestFit="1" customWidth="1"/>
    <col min="475" max="475" width="11.44140625" bestFit="1" customWidth="1"/>
    <col min="476" max="476" width="12.6640625" bestFit="1" customWidth="1"/>
    <col min="477" max="477" width="11.5546875" bestFit="1" customWidth="1"/>
    <col min="478" max="478" width="12.6640625" bestFit="1" customWidth="1"/>
    <col min="479" max="479" width="11.44140625" bestFit="1" customWidth="1"/>
    <col min="480" max="480" width="12.6640625" bestFit="1" customWidth="1"/>
    <col min="481" max="481" width="11.5546875" bestFit="1" customWidth="1"/>
    <col min="482" max="482" width="12.6640625" bestFit="1" customWidth="1"/>
    <col min="483" max="483" width="11.44140625" bestFit="1" customWidth="1"/>
    <col min="484" max="484" width="12.6640625" bestFit="1" customWidth="1"/>
    <col min="485" max="485" width="11.5546875" bestFit="1" customWidth="1"/>
    <col min="486" max="486" width="12.6640625" bestFit="1" customWidth="1"/>
    <col min="487" max="487" width="11.44140625" bestFit="1" customWidth="1"/>
    <col min="488" max="488" width="12.6640625" bestFit="1" customWidth="1"/>
    <col min="489" max="489" width="11.5546875" bestFit="1" customWidth="1"/>
    <col min="490" max="490" width="12.6640625" bestFit="1" customWidth="1"/>
    <col min="491" max="491" width="11.44140625" bestFit="1" customWidth="1"/>
    <col min="492" max="492" width="12.6640625" bestFit="1" customWidth="1"/>
    <col min="493" max="493" width="11.5546875" bestFit="1" customWidth="1"/>
    <col min="494" max="494" width="12.6640625" bestFit="1" customWidth="1"/>
    <col min="495" max="495" width="11.44140625" bestFit="1" customWidth="1"/>
  </cols>
  <sheetData>
    <row r="2" spans="1:495" ht="15" thickBot="1" x14ac:dyDescent="0.35">
      <c r="A2" s="209" t="s">
        <v>0</v>
      </c>
      <c r="B2" s="219" t="s">
        <v>1</v>
      </c>
      <c r="C2" s="11"/>
      <c r="D2" s="277" t="s">
        <v>68</v>
      </c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8"/>
      <c r="AD2" s="278"/>
      <c r="AE2" s="278"/>
      <c r="AF2" s="278"/>
      <c r="AG2" s="278"/>
      <c r="AH2" s="278"/>
      <c r="AI2" s="278"/>
      <c r="AJ2" s="278"/>
      <c r="AK2" s="278"/>
      <c r="AL2" s="278"/>
      <c r="AM2" s="278"/>
      <c r="AN2" s="278"/>
      <c r="AO2" s="278"/>
      <c r="AP2" s="278"/>
      <c r="AQ2" s="278"/>
      <c r="AR2" s="278"/>
      <c r="AS2" s="278"/>
      <c r="AT2" s="278"/>
      <c r="AU2" s="278"/>
      <c r="AV2" s="278"/>
      <c r="AW2" s="278"/>
      <c r="AX2" s="278"/>
      <c r="AY2" s="278"/>
      <c r="AZ2" s="278"/>
      <c r="BA2" s="278"/>
      <c r="BB2" s="278"/>
      <c r="BC2" s="278"/>
      <c r="BD2" s="278"/>
      <c r="BE2" s="278"/>
      <c r="BF2" s="278"/>
      <c r="BG2" s="278"/>
      <c r="BH2" s="278"/>
      <c r="BI2" s="278"/>
      <c r="BK2" s="287" t="s">
        <v>69</v>
      </c>
      <c r="BL2" s="287"/>
      <c r="BM2" s="287"/>
      <c r="BN2" s="287"/>
      <c r="BO2" s="287"/>
      <c r="BP2" s="287"/>
      <c r="BQ2" s="287"/>
      <c r="BR2" s="287"/>
      <c r="BS2" s="287"/>
      <c r="BT2" s="287"/>
      <c r="BU2" s="287"/>
      <c r="BV2" s="287"/>
      <c r="BW2" s="287"/>
      <c r="BX2" s="287"/>
      <c r="BY2" s="287"/>
      <c r="BZ2" s="287"/>
      <c r="CA2" s="287"/>
      <c r="CB2" s="287"/>
      <c r="CC2" s="287"/>
      <c r="CD2" s="287"/>
      <c r="CE2" s="287"/>
      <c r="CF2" s="287"/>
      <c r="CG2" s="287"/>
      <c r="CH2" s="287"/>
      <c r="CI2" s="287"/>
      <c r="CJ2" s="287"/>
      <c r="CK2" s="287"/>
      <c r="CL2" s="287"/>
      <c r="CM2" s="287"/>
      <c r="CN2" s="287"/>
      <c r="CO2" s="287"/>
      <c r="CP2" s="287"/>
      <c r="CQ2" s="287"/>
      <c r="CR2" s="287"/>
      <c r="CS2" s="287"/>
      <c r="CT2" s="287"/>
      <c r="CU2" s="287"/>
      <c r="CV2" s="287"/>
      <c r="CW2" s="287"/>
      <c r="CX2" s="287"/>
      <c r="CY2" s="287"/>
      <c r="CZ2" s="287"/>
      <c r="DA2" s="287"/>
      <c r="DB2" s="287"/>
      <c r="DC2" s="287"/>
      <c r="DD2" s="287"/>
      <c r="DE2" s="287"/>
      <c r="DF2" s="287"/>
      <c r="DG2" s="287"/>
      <c r="DH2" s="287"/>
      <c r="DI2" s="287"/>
      <c r="DJ2" s="287"/>
      <c r="DK2" s="287"/>
      <c r="DL2" s="287"/>
      <c r="DM2" s="287"/>
      <c r="DN2" s="287"/>
      <c r="DO2" s="287"/>
      <c r="DP2" s="287"/>
      <c r="DQ2" s="287"/>
      <c r="DR2" s="287"/>
      <c r="DS2" s="287"/>
      <c r="DT2" s="287"/>
      <c r="DU2" s="287"/>
      <c r="DV2" s="287"/>
      <c r="DW2" s="287"/>
      <c r="DX2" s="287"/>
      <c r="DY2" s="287"/>
      <c r="DZ2" s="287"/>
      <c r="EA2" s="287"/>
      <c r="EB2" s="287"/>
      <c r="EC2" s="287"/>
      <c r="ED2" s="287"/>
      <c r="EE2" s="287"/>
      <c r="EF2" s="287"/>
      <c r="EG2" s="287"/>
      <c r="EH2" s="287"/>
      <c r="EI2" s="287"/>
      <c r="EJ2" s="287"/>
      <c r="EK2" s="287"/>
      <c r="EL2" s="287"/>
      <c r="EM2" s="287"/>
      <c r="EN2" s="287"/>
      <c r="EO2" s="287"/>
      <c r="EP2" s="287"/>
      <c r="EQ2" s="287"/>
      <c r="ER2" s="287"/>
      <c r="ES2" s="287"/>
      <c r="ET2" s="287"/>
      <c r="EU2" s="287"/>
      <c r="EV2" s="287"/>
      <c r="EW2" s="287"/>
      <c r="EX2" s="287"/>
      <c r="FZ2" s="261" t="s">
        <v>69</v>
      </c>
      <c r="GA2" s="262"/>
      <c r="GB2" s="262"/>
      <c r="GC2" s="262"/>
      <c r="GD2" s="262"/>
      <c r="GE2" s="262"/>
      <c r="GF2" s="262"/>
      <c r="GG2" s="262"/>
      <c r="GH2" s="262"/>
      <c r="GI2" s="262"/>
      <c r="GJ2" s="262"/>
      <c r="GK2" s="262"/>
      <c r="GL2" s="262"/>
      <c r="GM2" s="262"/>
      <c r="GN2" s="262"/>
      <c r="GO2" s="262"/>
      <c r="GP2" s="262"/>
      <c r="GQ2" s="262"/>
      <c r="GR2" s="262"/>
      <c r="GS2" s="262"/>
      <c r="GT2" s="262"/>
      <c r="GU2" s="262"/>
      <c r="GV2" s="262"/>
      <c r="GW2" s="262"/>
      <c r="GX2" s="262"/>
      <c r="GY2" s="262"/>
      <c r="GZ2" s="262"/>
      <c r="HA2" s="262"/>
      <c r="HB2" s="262"/>
      <c r="HC2" s="262"/>
      <c r="HD2" s="262"/>
      <c r="HE2" s="262"/>
      <c r="HF2" s="262"/>
      <c r="HG2" s="262"/>
      <c r="HH2" s="262"/>
      <c r="HI2" s="262"/>
      <c r="HJ2" s="262"/>
      <c r="HK2" s="262"/>
      <c r="HL2" s="262"/>
      <c r="HM2" s="262"/>
      <c r="HN2" s="262"/>
      <c r="HO2" s="262"/>
      <c r="HP2" s="262"/>
      <c r="HQ2" s="262"/>
      <c r="HR2" s="262"/>
      <c r="HS2" s="262"/>
      <c r="HT2" s="262"/>
      <c r="HU2" s="262"/>
      <c r="HV2" s="262"/>
      <c r="HW2" s="262"/>
      <c r="HX2" s="262"/>
      <c r="HY2" s="262"/>
      <c r="HZ2" s="262"/>
      <c r="IA2" s="262"/>
      <c r="IB2" s="262"/>
      <c r="IC2" s="262"/>
      <c r="ID2" s="262"/>
      <c r="IE2" s="262"/>
      <c r="IF2" s="262"/>
      <c r="IG2" s="262"/>
      <c r="IH2" s="262"/>
      <c r="II2" s="262"/>
      <c r="IJ2" s="262"/>
      <c r="IK2" s="262"/>
      <c r="IL2" s="262"/>
      <c r="IM2" s="262"/>
      <c r="IN2" s="262"/>
      <c r="IO2" s="262"/>
      <c r="IP2" s="262"/>
      <c r="IQ2" s="262"/>
      <c r="IR2" s="262"/>
      <c r="IS2" s="262"/>
      <c r="IT2" s="262"/>
      <c r="IU2" s="262"/>
      <c r="IV2" s="262"/>
      <c r="IW2" s="262"/>
      <c r="IX2" s="262"/>
      <c r="IY2" s="262"/>
      <c r="IZ2" s="262"/>
      <c r="JA2" s="262"/>
      <c r="JB2" s="262"/>
      <c r="JC2" s="262"/>
      <c r="JD2" s="262"/>
      <c r="JE2" s="262"/>
      <c r="JF2" s="262"/>
      <c r="JG2" s="262"/>
      <c r="JH2" s="262"/>
      <c r="JI2" s="262"/>
      <c r="JJ2" s="262"/>
      <c r="JK2" s="262"/>
      <c r="JL2" s="262"/>
      <c r="JM2" s="262"/>
      <c r="JN2" s="262"/>
      <c r="JO2" s="262"/>
      <c r="JP2" s="262"/>
      <c r="JQ2" s="262"/>
      <c r="KU2" s="261" t="s">
        <v>69</v>
      </c>
      <c r="KV2" s="262"/>
      <c r="KW2" s="262"/>
      <c r="KX2" s="262"/>
      <c r="KY2" s="262"/>
      <c r="KZ2" s="262"/>
      <c r="LA2" s="262"/>
      <c r="LB2" s="262"/>
      <c r="LC2" s="262"/>
      <c r="LD2" s="262"/>
      <c r="LE2" s="262"/>
      <c r="LF2" s="262"/>
      <c r="LG2" s="262"/>
      <c r="LH2" s="262"/>
      <c r="LI2" s="262"/>
      <c r="LJ2" s="262"/>
      <c r="LK2" s="262"/>
      <c r="LL2" s="262"/>
      <c r="LM2" s="262"/>
      <c r="LN2" s="262"/>
      <c r="LO2" s="262"/>
      <c r="LP2" s="262"/>
      <c r="LQ2" s="262"/>
      <c r="LR2" s="262"/>
      <c r="LS2" s="262"/>
      <c r="LT2" s="262"/>
      <c r="LU2" s="262"/>
      <c r="LV2" s="262"/>
      <c r="LW2" s="262"/>
      <c r="LX2" s="262"/>
      <c r="LY2" s="262"/>
      <c r="LZ2" s="262"/>
      <c r="MA2" s="262"/>
      <c r="MB2" s="262"/>
      <c r="MC2" s="262"/>
      <c r="MD2" s="262"/>
      <c r="ME2" s="262"/>
      <c r="MF2" s="262"/>
      <c r="MG2" s="262"/>
      <c r="MH2" s="262"/>
      <c r="MI2" s="262"/>
      <c r="MJ2" s="262"/>
      <c r="MK2" s="262"/>
      <c r="ML2" s="262"/>
      <c r="MM2" s="262"/>
      <c r="MN2" s="262"/>
      <c r="MO2" s="262"/>
      <c r="MP2" s="262"/>
      <c r="MQ2" s="262"/>
      <c r="MR2" s="262"/>
      <c r="MS2" s="262"/>
      <c r="MT2" s="262"/>
      <c r="MU2" s="262"/>
      <c r="MV2" s="262"/>
      <c r="MW2" s="262"/>
      <c r="MX2" s="262"/>
      <c r="MY2" s="262"/>
      <c r="MZ2" s="262"/>
      <c r="NA2" s="262"/>
      <c r="NB2" s="262"/>
      <c r="NC2" s="262"/>
      <c r="ND2" s="262"/>
      <c r="NE2" s="262"/>
      <c r="NF2" s="262"/>
      <c r="NG2" s="262"/>
      <c r="NH2" s="262"/>
      <c r="NI2" s="262"/>
      <c r="NJ2" s="262"/>
      <c r="NK2" s="262"/>
      <c r="NL2" s="262"/>
      <c r="NM2" s="262"/>
      <c r="NN2" s="262"/>
      <c r="NO2" s="262"/>
      <c r="NP2" s="262"/>
      <c r="NQ2" s="262"/>
      <c r="NR2" s="262"/>
      <c r="NS2" s="262"/>
      <c r="NT2" s="262"/>
      <c r="NU2" s="262"/>
      <c r="NV2" s="262"/>
      <c r="NW2" s="262"/>
      <c r="NX2" s="262"/>
      <c r="NY2" s="262"/>
      <c r="NZ2" s="262"/>
      <c r="OA2" s="262"/>
      <c r="OB2" s="262"/>
      <c r="OC2" s="262"/>
      <c r="OD2" s="262"/>
      <c r="OE2" s="262"/>
      <c r="OF2" s="262"/>
      <c r="OG2" s="262"/>
      <c r="OH2" s="262"/>
      <c r="OI2" s="262"/>
      <c r="OJ2" s="262"/>
      <c r="OK2" s="262"/>
      <c r="OL2" s="262"/>
    </row>
    <row r="3" spans="1:495" ht="14.4" customHeight="1" thickBot="1" x14ac:dyDescent="0.35">
      <c r="A3" s="210"/>
      <c r="B3" s="219"/>
      <c r="C3" s="12"/>
      <c r="D3" s="15">
        <v>46143</v>
      </c>
      <c r="E3" s="15">
        <v>46144</v>
      </c>
      <c r="F3" s="15">
        <v>46145</v>
      </c>
      <c r="G3" s="15">
        <v>46146</v>
      </c>
      <c r="H3" s="273">
        <v>46147</v>
      </c>
      <c r="I3" s="274"/>
      <c r="J3" s="273">
        <v>46148</v>
      </c>
      <c r="K3" s="274"/>
      <c r="L3" s="273">
        <v>46149</v>
      </c>
      <c r="M3" s="274"/>
      <c r="N3" s="273">
        <v>46150</v>
      </c>
      <c r="O3" s="274"/>
      <c r="P3" s="273">
        <v>46151</v>
      </c>
      <c r="Q3" s="274"/>
      <c r="R3" s="273">
        <v>46152</v>
      </c>
      <c r="S3" s="274"/>
      <c r="T3" s="273">
        <v>46153</v>
      </c>
      <c r="U3" s="279"/>
      <c r="V3" s="273">
        <v>46154</v>
      </c>
      <c r="W3" s="274"/>
      <c r="X3" s="264">
        <v>46155</v>
      </c>
      <c r="Y3" s="265"/>
      <c r="Z3" s="263">
        <v>46156</v>
      </c>
      <c r="AA3" s="264"/>
      <c r="AB3" s="273">
        <v>46157</v>
      </c>
      <c r="AC3" s="274"/>
      <c r="AD3" s="264">
        <v>46158</v>
      </c>
      <c r="AE3" s="265"/>
      <c r="AF3" s="263">
        <v>46159</v>
      </c>
      <c r="AG3" s="265"/>
      <c r="AH3" s="263">
        <v>46160</v>
      </c>
      <c r="AI3" s="265"/>
      <c r="AJ3" s="263">
        <v>46161</v>
      </c>
      <c r="AK3" s="265"/>
      <c r="AL3" s="263">
        <v>46162</v>
      </c>
      <c r="AM3" s="265"/>
      <c r="AN3" s="263">
        <v>46163</v>
      </c>
      <c r="AO3" s="265"/>
      <c r="AP3" s="263">
        <v>46164</v>
      </c>
      <c r="AQ3" s="265"/>
      <c r="AR3" s="263">
        <v>46165</v>
      </c>
      <c r="AS3" s="265"/>
      <c r="AT3" s="263">
        <v>46166</v>
      </c>
      <c r="AU3" s="265"/>
      <c r="AV3" s="263">
        <v>46167</v>
      </c>
      <c r="AW3" s="265"/>
      <c r="AX3" s="263">
        <v>46168</v>
      </c>
      <c r="AY3" s="265"/>
      <c r="AZ3" s="263">
        <v>46169</v>
      </c>
      <c r="BA3" s="265"/>
      <c r="BB3" s="263">
        <v>46170</v>
      </c>
      <c r="BC3" s="265"/>
      <c r="BD3" s="263">
        <v>46171</v>
      </c>
      <c r="BE3" s="265"/>
      <c r="BF3" s="263">
        <v>46172</v>
      </c>
      <c r="BG3" s="265"/>
      <c r="BH3" s="263">
        <v>46173</v>
      </c>
      <c r="BI3" s="265"/>
      <c r="BK3" s="288">
        <v>46174</v>
      </c>
      <c r="BL3" s="288"/>
      <c r="BM3" s="288"/>
      <c r="BN3" s="288"/>
      <c r="BO3" s="288">
        <v>46175</v>
      </c>
      <c r="BP3" s="288"/>
      <c r="BQ3" s="288"/>
      <c r="BR3" s="288"/>
      <c r="BS3" s="268">
        <v>46176</v>
      </c>
      <c r="BT3" s="268"/>
      <c r="BU3" s="268"/>
      <c r="BV3" s="268"/>
      <c r="BW3" s="268">
        <v>46177</v>
      </c>
      <c r="BX3" s="268"/>
      <c r="BY3" s="268"/>
      <c r="BZ3" s="268"/>
      <c r="CA3" s="268">
        <v>46178</v>
      </c>
      <c r="CB3" s="268"/>
      <c r="CC3" s="268"/>
      <c r="CD3" s="268"/>
      <c r="CE3" s="268">
        <v>46179</v>
      </c>
      <c r="CF3" s="268"/>
      <c r="CG3" s="268"/>
      <c r="CH3" s="268"/>
      <c r="CI3" s="268">
        <v>46180</v>
      </c>
      <c r="CJ3" s="268"/>
      <c r="CK3" s="268"/>
      <c r="CL3" s="268"/>
      <c r="CM3" s="268">
        <v>46181</v>
      </c>
      <c r="CN3" s="268"/>
      <c r="CO3" s="268"/>
      <c r="CP3" s="268"/>
      <c r="CQ3" s="268">
        <v>46182</v>
      </c>
      <c r="CR3" s="268"/>
      <c r="CS3" s="268"/>
      <c r="CT3" s="268"/>
      <c r="CU3" s="268">
        <v>46183</v>
      </c>
      <c r="CV3" s="268"/>
      <c r="CW3" s="268"/>
      <c r="CX3" s="268"/>
      <c r="CY3" s="268">
        <v>46184</v>
      </c>
      <c r="CZ3" s="268"/>
      <c r="DA3" s="268"/>
      <c r="DB3" s="268"/>
      <c r="DC3" s="268">
        <v>46185</v>
      </c>
      <c r="DD3" s="268"/>
      <c r="DE3" s="268"/>
      <c r="DF3" s="268"/>
      <c r="DG3" s="272">
        <v>46186</v>
      </c>
      <c r="DH3" s="272"/>
      <c r="DI3" s="272"/>
      <c r="DJ3" s="272"/>
      <c r="DK3" s="268">
        <v>46187</v>
      </c>
      <c r="DL3" s="268"/>
      <c r="DM3" s="268"/>
      <c r="DN3" s="268"/>
      <c r="DO3" s="268">
        <v>46188</v>
      </c>
      <c r="DP3" s="268"/>
      <c r="DQ3" s="268"/>
      <c r="DR3" s="268"/>
      <c r="DS3" s="268">
        <v>46189</v>
      </c>
      <c r="DT3" s="268"/>
      <c r="DU3" s="268"/>
      <c r="DV3" s="268"/>
      <c r="DW3" s="268">
        <v>46190</v>
      </c>
      <c r="DX3" s="268"/>
      <c r="DY3" s="268"/>
      <c r="DZ3" s="268"/>
      <c r="EA3" s="161">
        <v>46191</v>
      </c>
      <c r="EB3" s="194"/>
      <c r="EC3" s="194"/>
      <c r="ED3" s="162"/>
      <c r="EE3" s="263">
        <v>46192</v>
      </c>
      <c r="EF3" s="264"/>
      <c r="EG3" s="264"/>
      <c r="EH3" s="265"/>
      <c r="EI3" s="263">
        <v>46193</v>
      </c>
      <c r="EJ3" s="264"/>
      <c r="EK3" s="264"/>
      <c r="EL3" s="265"/>
      <c r="EM3" s="268">
        <v>46194</v>
      </c>
      <c r="EN3" s="268"/>
      <c r="EO3" s="263">
        <v>46195</v>
      </c>
      <c r="EP3" s="264"/>
      <c r="EQ3" s="264"/>
      <c r="ER3" s="265"/>
      <c r="ES3" s="263">
        <v>46196</v>
      </c>
      <c r="ET3" s="264"/>
      <c r="EU3" s="264"/>
      <c r="EV3" s="265"/>
      <c r="EW3" s="263">
        <v>46197</v>
      </c>
      <c r="EX3" s="264"/>
      <c r="EY3" s="264"/>
      <c r="EZ3" s="265"/>
      <c r="FA3" s="263">
        <v>46198</v>
      </c>
      <c r="FB3" s="264"/>
      <c r="FC3" s="264"/>
      <c r="FD3" s="265"/>
      <c r="FE3" s="263">
        <v>46199</v>
      </c>
      <c r="FF3" s="264"/>
      <c r="FG3" s="264"/>
      <c r="FH3" s="265"/>
      <c r="FI3" s="263">
        <v>46200</v>
      </c>
      <c r="FJ3" s="264"/>
      <c r="FK3" s="264"/>
      <c r="FL3" s="265"/>
      <c r="FM3" s="263">
        <v>46201</v>
      </c>
      <c r="FN3" s="264"/>
      <c r="FO3" s="264"/>
      <c r="FP3" s="265"/>
      <c r="FQ3" s="263">
        <v>46202</v>
      </c>
      <c r="FR3" s="264"/>
      <c r="FS3" s="264"/>
      <c r="FT3" s="265"/>
      <c r="FU3" s="263">
        <v>46203</v>
      </c>
      <c r="FV3" s="264"/>
      <c r="FW3" s="264"/>
      <c r="FX3" s="265"/>
      <c r="FZ3" s="241">
        <v>46204</v>
      </c>
      <c r="GA3" s="242"/>
      <c r="GB3" s="242"/>
      <c r="GC3" s="243"/>
      <c r="GD3" s="241">
        <v>46205</v>
      </c>
      <c r="GE3" s="242"/>
      <c r="GF3" s="242"/>
      <c r="GG3" s="243"/>
      <c r="GH3" s="241">
        <v>46206</v>
      </c>
      <c r="GI3" s="242"/>
      <c r="GJ3" s="242"/>
      <c r="GK3" s="243"/>
      <c r="GL3" s="241">
        <v>46207</v>
      </c>
      <c r="GM3" s="242"/>
      <c r="GN3" s="242"/>
      <c r="GO3" s="243"/>
      <c r="GP3" s="241">
        <v>46208</v>
      </c>
      <c r="GQ3" s="242"/>
      <c r="GR3" s="242"/>
      <c r="GS3" s="243"/>
      <c r="GT3" s="241">
        <v>46209</v>
      </c>
      <c r="GU3" s="242"/>
      <c r="GV3" s="242"/>
      <c r="GW3" s="243"/>
      <c r="GX3" s="241">
        <v>46210</v>
      </c>
      <c r="GY3" s="242"/>
      <c r="GZ3" s="242"/>
      <c r="HA3" s="243"/>
      <c r="HB3" s="241">
        <v>46211</v>
      </c>
      <c r="HC3" s="242"/>
      <c r="HD3" s="242"/>
      <c r="HE3" s="243"/>
      <c r="HF3" s="241">
        <v>46212</v>
      </c>
      <c r="HG3" s="242"/>
      <c r="HH3" s="242"/>
      <c r="HI3" s="243"/>
      <c r="HJ3" s="241">
        <v>46213</v>
      </c>
      <c r="HK3" s="242"/>
      <c r="HL3" s="242"/>
      <c r="HM3" s="243"/>
      <c r="HN3" s="241">
        <v>46214</v>
      </c>
      <c r="HO3" s="242"/>
      <c r="HP3" s="242"/>
      <c r="HQ3" s="243"/>
      <c r="HR3" s="241">
        <v>46215</v>
      </c>
      <c r="HS3" s="242"/>
      <c r="HT3" s="242"/>
      <c r="HU3" s="243"/>
      <c r="HV3" s="241">
        <v>46216</v>
      </c>
      <c r="HW3" s="242"/>
      <c r="HX3" s="242"/>
      <c r="HY3" s="243"/>
      <c r="HZ3" s="241">
        <v>46217</v>
      </c>
      <c r="IA3" s="242"/>
      <c r="IB3" s="242"/>
      <c r="IC3" s="243"/>
      <c r="ID3" s="241">
        <v>46218</v>
      </c>
      <c r="IE3" s="242"/>
      <c r="IF3" s="242"/>
      <c r="IG3" s="243"/>
      <c r="IH3" s="241">
        <v>46219</v>
      </c>
      <c r="II3" s="242"/>
      <c r="IJ3" s="242"/>
      <c r="IK3" s="243"/>
      <c r="IL3" s="241">
        <v>46220</v>
      </c>
      <c r="IM3" s="242"/>
      <c r="IN3" s="242"/>
      <c r="IO3" s="243"/>
      <c r="IP3" s="241">
        <v>46221</v>
      </c>
      <c r="IQ3" s="242"/>
      <c r="IR3" s="242"/>
      <c r="IS3" s="243"/>
      <c r="IT3" s="241">
        <v>46222</v>
      </c>
      <c r="IU3" s="242"/>
      <c r="IV3" s="242"/>
      <c r="IW3" s="243"/>
      <c r="IX3" s="244">
        <v>46223</v>
      </c>
      <c r="IY3" s="245"/>
      <c r="IZ3" s="245"/>
      <c r="JA3" s="246"/>
      <c r="JB3" s="244">
        <v>46224</v>
      </c>
      <c r="JC3" s="245"/>
      <c r="JD3" s="245"/>
      <c r="JE3" s="246"/>
      <c r="JF3" s="244">
        <v>46225</v>
      </c>
      <c r="JG3" s="245"/>
      <c r="JH3" s="245"/>
      <c r="JI3" s="246"/>
      <c r="JJ3" s="244">
        <v>46226</v>
      </c>
      <c r="JK3" s="245"/>
      <c r="JL3" s="245"/>
      <c r="JM3" s="246"/>
      <c r="JN3" s="244">
        <v>46227</v>
      </c>
      <c r="JO3" s="245"/>
      <c r="JP3" s="245"/>
      <c r="JQ3" s="246"/>
      <c r="JR3" s="244">
        <v>46228</v>
      </c>
      <c r="JS3" s="245"/>
      <c r="JT3" s="245"/>
      <c r="JU3" s="246"/>
      <c r="JV3" s="244">
        <v>46229</v>
      </c>
      <c r="JW3" s="245"/>
      <c r="JX3" s="245"/>
      <c r="JY3" s="246"/>
      <c r="JZ3" s="244">
        <v>46230</v>
      </c>
      <c r="KA3" s="245"/>
      <c r="KB3" s="245"/>
      <c r="KC3" s="246"/>
      <c r="KD3" s="244">
        <v>46231</v>
      </c>
      <c r="KE3" s="245"/>
      <c r="KF3" s="245"/>
      <c r="KG3" s="246"/>
      <c r="KH3" s="244">
        <v>46232</v>
      </c>
      <c r="KI3" s="245"/>
      <c r="KJ3" s="245"/>
      <c r="KK3" s="246"/>
      <c r="KL3" s="244">
        <v>46233</v>
      </c>
      <c r="KM3" s="245"/>
      <c r="KN3" s="245"/>
      <c r="KO3" s="246"/>
      <c r="KP3" s="244">
        <v>46234</v>
      </c>
      <c r="KQ3" s="245"/>
      <c r="KR3" s="245"/>
      <c r="KS3" s="246"/>
      <c r="KU3" s="241">
        <v>46235</v>
      </c>
      <c r="KV3" s="242"/>
      <c r="KW3" s="242"/>
      <c r="KX3" s="243"/>
      <c r="KY3" s="241">
        <v>46236</v>
      </c>
      <c r="KZ3" s="242"/>
      <c r="LA3" s="242"/>
      <c r="LB3" s="243"/>
      <c r="LC3" s="241">
        <v>46237</v>
      </c>
      <c r="LD3" s="242"/>
      <c r="LE3" s="242"/>
      <c r="LF3" s="243"/>
      <c r="LG3" s="241">
        <v>46238</v>
      </c>
      <c r="LH3" s="242"/>
      <c r="LI3" s="242"/>
      <c r="LJ3" s="243"/>
      <c r="LK3" s="241">
        <v>46239</v>
      </c>
      <c r="LL3" s="242"/>
      <c r="LM3" s="242"/>
      <c r="LN3" s="243"/>
      <c r="LO3" s="241">
        <v>46240</v>
      </c>
      <c r="LP3" s="242"/>
      <c r="LQ3" s="242"/>
      <c r="LR3" s="243"/>
      <c r="LS3" s="241">
        <v>46241</v>
      </c>
      <c r="LT3" s="242"/>
      <c r="LU3" s="242"/>
      <c r="LV3" s="243"/>
      <c r="LW3" s="241">
        <v>46242</v>
      </c>
      <c r="LX3" s="242"/>
      <c r="LY3" s="242"/>
      <c r="LZ3" s="243"/>
      <c r="MA3" s="241">
        <v>46243</v>
      </c>
      <c r="MB3" s="242"/>
      <c r="MC3" s="242"/>
      <c r="MD3" s="243"/>
      <c r="ME3" s="241">
        <v>46244</v>
      </c>
      <c r="MF3" s="242"/>
      <c r="MG3" s="242"/>
      <c r="MH3" s="243"/>
      <c r="MI3" s="241">
        <v>46245</v>
      </c>
      <c r="MJ3" s="242"/>
      <c r="MK3" s="242"/>
      <c r="ML3" s="243"/>
      <c r="MM3" s="241">
        <v>46246</v>
      </c>
      <c r="MN3" s="242"/>
      <c r="MO3" s="242"/>
      <c r="MP3" s="243"/>
      <c r="MQ3" s="241">
        <v>46247</v>
      </c>
      <c r="MR3" s="242"/>
      <c r="MS3" s="242"/>
      <c r="MT3" s="243"/>
      <c r="MU3" s="241">
        <v>46248</v>
      </c>
      <c r="MV3" s="242"/>
      <c r="MW3" s="242"/>
      <c r="MX3" s="243"/>
      <c r="MY3" s="241">
        <v>46249</v>
      </c>
      <c r="MZ3" s="242"/>
      <c r="NA3" s="242"/>
      <c r="NB3" s="243"/>
      <c r="NC3" s="241">
        <v>46250</v>
      </c>
      <c r="ND3" s="242"/>
      <c r="NE3" s="242"/>
      <c r="NF3" s="243"/>
      <c r="NG3" s="241">
        <v>46251</v>
      </c>
      <c r="NH3" s="242"/>
      <c r="NI3" s="242"/>
      <c r="NJ3" s="243"/>
      <c r="NK3" s="241">
        <v>46252</v>
      </c>
      <c r="NL3" s="242"/>
      <c r="NM3" s="242"/>
      <c r="NN3" s="243"/>
      <c r="NO3" s="241">
        <v>46253</v>
      </c>
      <c r="NP3" s="242"/>
      <c r="NQ3" s="242"/>
      <c r="NR3" s="243"/>
      <c r="NS3" s="241">
        <v>46254</v>
      </c>
      <c r="NT3" s="242"/>
      <c r="NU3" s="242"/>
      <c r="NV3" s="243"/>
      <c r="NW3" s="241">
        <v>46255</v>
      </c>
      <c r="NX3" s="242"/>
      <c r="NY3" s="242"/>
      <c r="NZ3" s="243"/>
      <c r="OA3" s="241">
        <v>46256</v>
      </c>
      <c r="OB3" s="242"/>
      <c r="OC3" s="242"/>
      <c r="OD3" s="243"/>
      <c r="OE3" s="241">
        <v>46257</v>
      </c>
      <c r="OF3" s="242"/>
      <c r="OG3" s="242"/>
      <c r="OH3" s="243"/>
      <c r="OI3" s="241">
        <v>46258</v>
      </c>
      <c r="OJ3" s="242"/>
      <c r="OK3" s="242"/>
      <c r="OL3" s="243"/>
      <c r="OM3" s="241">
        <v>46259</v>
      </c>
      <c r="ON3" s="242"/>
      <c r="OO3" s="242"/>
      <c r="OP3" s="243"/>
      <c r="OQ3" s="241">
        <v>46260</v>
      </c>
      <c r="OR3" s="242"/>
      <c r="OS3" s="242"/>
      <c r="OT3" s="243"/>
      <c r="OU3" s="241">
        <v>46261</v>
      </c>
      <c r="OV3" s="242"/>
      <c r="OW3" s="242"/>
      <c r="OX3" s="243"/>
      <c r="OY3" s="241">
        <v>46262</v>
      </c>
      <c r="OZ3" s="242"/>
      <c r="PA3" s="242"/>
      <c r="PB3" s="243"/>
      <c r="PC3" s="241">
        <v>46263</v>
      </c>
      <c r="PD3" s="242"/>
      <c r="PE3" s="242"/>
      <c r="PF3" s="243"/>
      <c r="PG3" s="241">
        <v>46264</v>
      </c>
      <c r="PH3" s="242"/>
      <c r="PI3" s="242"/>
      <c r="PJ3" s="243"/>
      <c r="PK3" s="241">
        <v>46265</v>
      </c>
      <c r="PL3" s="242"/>
      <c r="PM3" s="242"/>
      <c r="PN3" s="243"/>
      <c r="PP3" s="241">
        <v>46266</v>
      </c>
      <c r="PQ3" s="242"/>
      <c r="PR3" s="242"/>
      <c r="PS3" s="243"/>
      <c r="PT3" s="241">
        <v>46267</v>
      </c>
      <c r="PU3" s="242"/>
      <c r="PV3" s="242"/>
      <c r="PW3" s="243"/>
      <c r="PX3" s="241">
        <v>46268</v>
      </c>
      <c r="PY3" s="242"/>
      <c r="PZ3" s="242"/>
      <c r="QA3" s="243"/>
      <c r="QB3" s="241">
        <v>46269</v>
      </c>
      <c r="QC3" s="242"/>
      <c r="QD3" s="242"/>
      <c r="QE3" s="243"/>
      <c r="QF3" s="241">
        <v>46270</v>
      </c>
      <c r="QG3" s="242"/>
      <c r="QH3" s="242"/>
      <c r="QI3" s="243"/>
      <c r="QJ3" s="241">
        <v>46271</v>
      </c>
      <c r="QK3" s="242"/>
      <c r="QL3" s="242"/>
      <c r="QM3" s="243"/>
      <c r="QN3" s="241">
        <v>46272</v>
      </c>
      <c r="QO3" s="242"/>
      <c r="QP3" s="242"/>
      <c r="QQ3" s="243"/>
      <c r="QR3" s="241">
        <v>46273</v>
      </c>
      <c r="QS3" s="242"/>
      <c r="QT3" s="242"/>
      <c r="QU3" s="243"/>
      <c r="QV3" s="241">
        <v>46274</v>
      </c>
      <c r="QW3" s="242"/>
      <c r="QX3" s="242"/>
      <c r="QY3" s="243"/>
      <c r="QZ3" s="241">
        <v>46275</v>
      </c>
      <c r="RA3" s="242"/>
      <c r="RB3" s="242"/>
      <c r="RC3" s="243"/>
      <c r="RD3" s="241">
        <v>46276</v>
      </c>
      <c r="RE3" s="242"/>
      <c r="RF3" s="242"/>
      <c r="RG3" s="243"/>
      <c r="RH3" s="241">
        <v>46277</v>
      </c>
      <c r="RI3" s="242"/>
      <c r="RJ3" s="242"/>
      <c r="RK3" s="243"/>
      <c r="RL3" s="241">
        <v>46278</v>
      </c>
      <c r="RM3" s="242"/>
      <c r="RN3" s="242"/>
      <c r="RO3" s="243"/>
      <c r="RP3" s="241">
        <v>46279</v>
      </c>
      <c r="RQ3" s="242"/>
      <c r="RR3" s="242"/>
      <c r="RS3" s="243"/>
      <c r="RT3" s="241">
        <v>46280</v>
      </c>
      <c r="RU3" s="242"/>
      <c r="RV3" s="242"/>
      <c r="RW3" s="243"/>
      <c r="RX3" s="241">
        <v>46281</v>
      </c>
      <c r="RY3" s="242"/>
      <c r="RZ3" s="242"/>
      <c r="SA3" s="243"/>
    </row>
    <row r="4" spans="1:495" ht="34.200000000000003" customHeight="1" x14ac:dyDescent="0.3">
      <c r="A4" s="210"/>
      <c r="B4" s="1" t="s">
        <v>70</v>
      </c>
      <c r="C4" s="1"/>
      <c r="D4" s="8" t="s">
        <v>71</v>
      </c>
      <c r="E4" s="8" t="s">
        <v>71</v>
      </c>
      <c r="F4" s="8" t="s">
        <v>71</v>
      </c>
      <c r="G4" s="20" t="s">
        <v>71</v>
      </c>
      <c r="H4" s="41" t="s">
        <v>71</v>
      </c>
      <c r="I4" s="42" t="s">
        <v>72</v>
      </c>
      <c r="J4" s="41" t="s">
        <v>71</v>
      </c>
      <c r="K4" s="42" t="s">
        <v>72</v>
      </c>
      <c r="L4" s="41" t="s">
        <v>71</v>
      </c>
      <c r="M4" s="42" t="s">
        <v>72</v>
      </c>
      <c r="N4" s="41" t="s">
        <v>71</v>
      </c>
      <c r="O4" s="42" t="s">
        <v>72</v>
      </c>
      <c r="P4" s="41" t="s">
        <v>71</v>
      </c>
      <c r="Q4" s="42" t="s">
        <v>72</v>
      </c>
      <c r="R4" s="41" t="s">
        <v>71</v>
      </c>
      <c r="S4" s="42" t="s">
        <v>72</v>
      </c>
      <c r="T4" s="41" t="s">
        <v>71</v>
      </c>
      <c r="U4" s="15" t="s">
        <v>72</v>
      </c>
      <c r="V4" s="41" t="s">
        <v>71</v>
      </c>
      <c r="W4" s="42" t="s">
        <v>72</v>
      </c>
      <c r="X4" s="21" t="s">
        <v>71</v>
      </c>
      <c r="Y4" s="9" t="s">
        <v>72</v>
      </c>
      <c r="Z4" s="8" t="s">
        <v>71</v>
      </c>
      <c r="AA4" s="15" t="s">
        <v>72</v>
      </c>
      <c r="AB4" s="41" t="s">
        <v>71</v>
      </c>
      <c r="AC4" s="42" t="s">
        <v>72</v>
      </c>
      <c r="AD4" s="21" t="s">
        <v>71</v>
      </c>
      <c r="AE4" s="9" t="s">
        <v>72</v>
      </c>
      <c r="AF4" s="8" t="s">
        <v>71</v>
      </c>
      <c r="AG4" s="9" t="s">
        <v>72</v>
      </c>
      <c r="AH4" s="8" t="s">
        <v>71</v>
      </c>
      <c r="AI4" s="9" t="s">
        <v>72</v>
      </c>
      <c r="AJ4" s="8" t="s">
        <v>71</v>
      </c>
      <c r="AK4" s="9" t="s">
        <v>72</v>
      </c>
      <c r="AL4" s="8" t="s">
        <v>71</v>
      </c>
      <c r="AM4" s="9" t="s">
        <v>72</v>
      </c>
      <c r="AN4" s="8" t="s">
        <v>71</v>
      </c>
      <c r="AO4" s="9" t="s">
        <v>72</v>
      </c>
      <c r="AP4" s="8" t="s">
        <v>71</v>
      </c>
      <c r="AQ4" s="9" t="s">
        <v>72</v>
      </c>
      <c r="AR4" s="8" t="s">
        <v>71</v>
      </c>
      <c r="AS4" s="9" t="s">
        <v>72</v>
      </c>
      <c r="AT4" s="8" t="s">
        <v>71</v>
      </c>
      <c r="AU4" s="9" t="s">
        <v>72</v>
      </c>
      <c r="AV4" s="8" t="s">
        <v>71</v>
      </c>
      <c r="AW4" s="9" t="s">
        <v>72</v>
      </c>
      <c r="AX4" s="8" t="s">
        <v>71</v>
      </c>
      <c r="AY4" s="9" t="s">
        <v>72</v>
      </c>
      <c r="AZ4" s="8" t="s">
        <v>71</v>
      </c>
      <c r="BA4" s="9" t="s">
        <v>72</v>
      </c>
      <c r="BB4" s="8" t="s">
        <v>71</v>
      </c>
      <c r="BC4" s="9" t="s">
        <v>72</v>
      </c>
      <c r="BD4" s="8" t="s">
        <v>71</v>
      </c>
      <c r="BE4" s="9" t="s">
        <v>72</v>
      </c>
      <c r="BF4" s="8" t="s">
        <v>71</v>
      </c>
      <c r="BG4" s="9" t="s">
        <v>72</v>
      </c>
      <c r="BH4" s="8" t="s">
        <v>71</v>
      </c>
      <c r="BI4" s="9" t="s">
        <v>72</v>
      </c>
      <c r="BK4" s="102" t="s">
        <v>73</v>
      </c>
      <c r="BL4" s="103" t="s">
        <v>74</v>
      </c>
      <c r="BM4" s="104" t="s">
        <v>75</v>
      </c>
      <c r="BN4" s="105" t="s">
        <v>72</v>
      </c>
      <c r="BO4" s="102" t="s">
        <v>73</v>
      </c>
      <c r="BP4" s="103" t="s">
        <v>74</v>
      </c>
      <c r="BQ4" s="104" t="s">
        <v>75</v>
      </c>
      <c r="BR4" s="105" t="s">
        <v>72</v>
      </c>
      <c r="BS4" s="110" t="s">
        <v>73</v>
      </c>
      <c r="BT4" s="101" t="s">
        <v>74</v>
      </c>
      <c r="BU4" s="108" t="s">
        <v>75</v>
      </c>
      <c r="BV4" s="109" t="s">
        <v>72</v>
      </c>
      <c r="BW4" s="110" t="s">
        <v>73</v>
      </c>
      <c r="BX4" s="101" t="s">
        <v>74</v>
      </c>
      <c r="BY4" s="108" t="s">
        <v>75</v>
      </c>
      <c r="BZ4" s="109" t="s">
        <v>72</v>
      </c>
      <c r="CA4" s="110" t="s">
        <v>73</v>
      </c>
      <c r="CB4" s="101" t="s">
        <v>74</v>
      </c>
      <c r="CC4" s="108" t="s">
        <v>75</v>
      </c>
      <c r="CD4" s="109" t="s">
        <v>72</v>
      </c>
      <c r="CE4" s="107" t="s">
        <v>73</v>
      </c>
      <c r="CF4" s="101" t="s">
        <v>74</v>
      </c>
      <c r="CG4" s="108" t="s">
        <v>75</v>
      </c>
      <c r="CH4" s="109" t="s">
        <v>72</v>
      </c>
      <c r="CI4" s="107" t="s">
        <v>73</v>
      </c>
      <c r="CJ4" s="101" t="s">
        <v>74</v>
      </c>
      <c r="CK4" s="108" t="s">
        <v>75</v>
      </c>
      <c r="CL4" s="109" t="s">
        <v>72</v>
      </c>
      <c r="CM4" s="107" t="s">
        <v>73</v>
      </c>
      <c r="CN4" s="101" t="s">
        <v>74</v>
      </c>
      <c r="CO4" s="108" t="s">
        <v>75</v>
      </c>
      <c r="CP4" s="109" t="s">
        <v>72</v>
      </c>
      <c r="CQ4" s="107" t="s">
        <v>73</v>
      </c>
      <c r="CR4" s="101" t="s">
        <v>74</v>
      </c>
      <c r="CS4" s="108" t="s">
        <v>75</v>
      </c>
      <c r="CT4" s="109" t="s">
        <v>72</v>
      </c>
      <c r="CU4" s="107" t="s">
        <v>73</v>
      </c>
      <c r="CV4" s="101" t="s">
        <v>74</v>
      </c>
      <c r="CW4" s="108" t="s">
        <v>75</v>
      </c>
      <c r="CX4" s="109" t="s">
        <v>72</v>
      </c>
      <c r="CY4" s="107" t="s">
        <v>73</v>
      </c>
      <c r="CZ4" s="101" t="s">
        <v>74</v>
      </c>
      <c r="DA4" s="108" t="s">
        <v>75</v>
      </c>
      <c r="DB4" s="109" t="s">
        <v>72</v>
      </c>
      <c r="DC4" s="107" t="s">
        <v>73</v>
      </c>
      <c r="DD4" s="101" t="s">
        <v>74</v>
      </c>
      <c r="DE4" s="108" t="s">
        <v>75</v>
      </c>
      <c r="DF4" s="109" t="s">
        <v>72</v>
      </c>
      <c r="DG4" s="107" t="s">
        <v>73</v>
      </c>
      <c r="DH4" s="101" t="s">
        <v>74</v>
      </c>
      <c r="DI4" s="108" t="s">
        <v>75</v>
      </c>
      <c r="DJ4" s="109" t="s">
        <v>72</v>
      </c>
      <c r="DK4" s="107" t="s">
        <v>73</v>
      </c>
      <c r="DL4" s="101" t="s">
        <v>74</v>
      </c>
      <c r="DM4" s="108" t="s">
        <v>75</v>
      </c>
      <c r="DN4" s="109" t="s">
        <v>72</v>
      </c>
      <c r="DO4" s="107" t="s">
        <v>73</v>
      </c>
      <c r="DP4" s="101" t="s">
        <v>74</v>
      </c>
      <c r="DQ4" s="108" t="s">
        <v>75</v>
      </c>
      <c r="DR4" s="109" t="s">
        <v>72</v>
      </c>
      <c r="DS4" s="107" t="s">
        <v>73</v>
      </c>
      <c r="DT4" s="101" t="s">
        <v>74</v>
      </c>
      <c r="DU4" s="108" t="s">
        <v>75</v>
      </c>
      <c r="DV4" s="109" t="s">
        <v>72</v>
      </c>
      <c r="DW4" s="107" t="s">
        <v>73</v>
      </c>
      <c r="DX4" s="101" t="s">
        <v>74</v>
      </c>
      <c r="DY4" s="108" t="s">
        <v>75</v>
      </c>
      <c r="DZ4" s="109" t="s">
        <v>72</v>
      </c>
      <c r="EA4" s="107" t="s">
        <v>73</v>
      </c>
      <c r="EB4" s="101" t="s">
        <v>74</v>
      </c>
      <c r="EC4" s="108" t="s">
        <v>75</v>
      </c>
      <c r="ED4" s="109" t="s">
        <v>72</v>
      </c>
      <c r="EE4" s="107" t="s">
        <v>73</v>
      </c>
      <c r="EF4" s="101" t="s">
        <v>74</v>
      </c>
      <c r="EG4" s="108" t="s">
        <v>75</v>
      </c>
      <c r="EH4" s="109" t="s">
        <v>72</v>
      </c>
      <c r="EI4" s="107" t="s">
        <v>73</v>
      </c>
      <c r="EJ4" s="101" t="s">
        <v>74</v>
      </c>
      <c r="EK4" s="108" t="s">
        <v>75</v>
      </c>
      <c r="EL4" s="109" t="s">
        <v>72</v>
      </c>
      <c r="EM4" s="111" t="s">
        <v>71</v>
      </c>
      <c r="EN4" s="112" t="s">
        <v>72</v>
      </c>
      <c r="EO4" s="107" t="s">
        <v>73</v>
      </c>
      <c r="EP4" s="101" t="s">
        <v>74</v>
      </c>
      <c r="EQ4" s="108" t="s">
        <v>75</v>
      </c>
      <c r="ER4" s="109" t="s">
        <v>72</v>
      </c>
      <c r="ES4" s="107" t="s">
        <v>73</v>
      </c>
      <c r="ET4" s="101" t="s">
        <v>74</v>
      </c>
      <c r="EU4" s="108" t="s">
        <v>75</v>
      </c>
      <c r="EV4" s="109" t="s">
        <v>72</v>
      </c>
      <c r="EW4" s="107" t="s">
        <v>73</v>
      </c>
      <c r="EX4" s="101" t="s">
        <v>74</v>
      </c>
      <c r="EY4" s="108" t="s">
        <v>75</v>
      </c>
      <c r="EZ4" s="109" t="s">
        <v>72</v>
      </c>
      <c r="FA4" s="107" t="s">
        <v>73</v>
      </c>
      <c r="FB4" s="101" t="s">
        <v>74</v>
      </c>
      <c r="FC4" s="108" t="s">
        <v>75</v>
      </c>
      <c r="FD4" s="109" t="s">
        <v>72</v>
      </c>
      <c r="FE4" s="107" t="s">
        <v>73</v>
      </c>
      <c r="FF4" s="101" t="s">
        <v>74</v>
      </c>
      <c r="FG4" s="108" t="s">
        <v>75</v>
      </c>
      <c r="FH4" s="109" t="s">
        <v>72</v>
      </c>
      <c r="FI4" s="107" t="s">
        <v>73</v>
      </c>
      <c r="FJ4" s="101" t="s">
        <v>74</v>
      </c>
      <c r="FK4" s="108" t="s">
        <v>75</v>
      </c>
      <c r="FL4" s="109" t="s">
        <v>72</v>
      </c>
      <c r="FM4" s="107" t="s">
        <v>73</v>
      </c>
      <c r="FN4" s="101" t="s">
        <v>74</v>
      </c>
      <c r="FO4" s="108" t="s">
        <v>75</v>
      </c>
      <c r="FP4" s="109" t="s">
        <v>72</v>
      </c>
      <c r="FQ4" s="107" t="s">
        <v>73</v>
      </c>
      <c r="FR4" s="101" t="s">
        <v>74</v>
      </c>
      <c r="FS4" s="108" t="s">
        <v>75</v>
      </c>
      <c r="FT4" s="109" t="s">
        <v>72</v>
      </c>
      <c r="FU4" s="107" t="s">
        <v>73</v>
      </c>
      <c r="FV4" s="101" t="s">
        <v>74</v>
      </c>
      <c r="FW4" s="108" t="s">
        <v>75</v>
      </c>
      <c r="FX4" s="109" t="s">
        <v>72</v>
      </c>
      <c r="FZ4" s="102" t="s">
        <v>73</v>
      </c>
      <c r="GA4" s="103" t="s">
        <v>74</v>
      </c>
      <c r="GB4" s="104" t="s">
        <v>75</v>
      </c>
      <c r="GC4" s="105" t="s">
        <v>72</v>
      </c>
      <c r="GD4" s="102" t="s">
        <v>73</v>
      </c>
      <c r="GE4" s="103" t="s">
        <v>74</v>
      </c>
      <c r="GF4" s="104" t="s">
        <v>75</v>
      </c>
      <c r="GG4" s="105" t="s">
        <v>72</v>
      </c>
      <c r="GH4" s="110" t="s">
        <v>73</v>
      </c>
      <c r="GI4" s="101" t="s">
        <v>74</v>
      </c>
      <c r="GJ4" s="108" t="s">
        <v>75</v>
      </c>
      <c r="GK4" s="109" t="s">
        <v>72</v>
      </c>
      <c r="GL4" s="110" t="s">
        <v>73</v>
      </c>
      <c r="GM4" s="101" t="s">
        <v>74</v>
      </c>
      <c r="GN4" s="108" t="s">
        <v>75</v>
      </c>
      <c r="GO4" s="109" t="s">
        <v>72</v>
      </c>
      <c r="GP4" s="110" t="s">
        <v>73</v>
      </c>
      <c r="GQ4" s="101" t="s">
        <v>74</v>
      </c>
      <c r="GR4" s="108" t="s">
        <v>75</v>
      </c>
      <c r="GS4" s="109" t="s">
        <v>72</v>
      </c>
      <c r="GT4" s="107" t="s">
        <v>73</v>
      </c>
      <c r="GU4" s="101" t="s">
        <v>74</v>
      </c>
      <c r="GV4" s="108" t="s">
        <v>75</v>
      </c>
      <c r="GW4" s="109" t="s">
        <v>72</v>
      </c>
      <c r="GX4" s="107" t="s">
        <v>73</v>
      </c>
      <c r="GY4" s="101" t="s">
        <v>74</v>
      </c>
      <c r="GZ4" s="108" t="s">
        <v>75</v>
      </c>
      <c r="HA4" s="109" t="s">
        <v>72</v>
      </c>
      <c r="HB4" s="107" t="s">
        <v>73</v>
      </c>
      <c r="HC4" s="101" t="s">
        <v>74</v>
      </c>
      <c r="HD4" s="108" t="s">
        <v>75</v>
      </c>
      <c r="HE4" s="109" t="s">
        <v>72</v>
      </c>
      <c r="HF4" s="107" t="s">
        <v>73</v>
      </c>
      <c r="HG4" s="101" t="s">
        <v>74</v>
      </c>
      <c r="HH4" s="108" t="s">
        <v>75</v>
      </c>
      <c r="HI4" s="109" t="s">
        <v>72</v>
      </c>
      <c r="HJ4" s="107" t="s">
        <v>73</v>
      </c>
      <c r="HK4" s="101" t="s">
        <v>74</v>
      </c>
      <c r="HL4" s="108" t="s">
        <v>75</v>
      </c>
      <c r="HM4" s="109" t="s">
        <v>72</v>
      </c>
      <c r="HN4" s="107" t="s">
        <v>73</v>
      </c>
      <c r="HO4" s="101" t="s">
        <v>74</v>
      </c>
      <c r="HP4" s="108" t="s">
        <v>75</v>
      </c>
      <c r="HQ4" s="109" t="s">
        <v>72</v>
      </c>
      <c r="HR4" s="107" t="s">
        <v>73</v>
      </c>
      <c r="HS4" s="101" t="s">
        <v>74</v>
      </c>
      <c r="HT4" s="108" t="s">
        <v>75</v>
      </c>
      <c r="HU4" s="109" t="s">
        <v>72</v>
      </c>
      <c r="HV4" s="107" t="s">
        <v>73</v>
      </c>
      <c r="HW4" s="101" t="s">
        <v>74</v>
      </c>
      <c r="HX4" s="108" t="s">
        <v>75</v>
      </c>
      <c r="HY4" s="109" t="s">
        <v>72</v>
      </c>
      <c r="HZ4" s="107" t="s">
        <v>73</v>
      </c>
      <c r="IA4" s="101" t="s">
        <v>74</v>
      </c>
      <c r="IB4" s="108" t="s">
        <v>75</v>
      </c>
      <c r="IC4" s="109" t="s">
        <v>72</v>
      </c>
      <c r="ID4" s="107" t="s">
        <v>73</v>
      </c>
      <c r="IE4" s="101" t="s">
        <v>74</v>
      </c>
      <c r="IF4" s="108" t="s">
        <v>75</v>
      </c>
      <c r="IG4" s="109" t="s">
        <v>72</v>
      </c>
      <c r="IH4" s="107" t="s">
        <v>73</v>
      </c>
      <c r="II4" s="101" t="s">
        <v>74</v>
      </c>
      <c r="IJ4" s="108" t="s">
        <v>75</v>
      </c>
      <c r="IK4" s="109" t="s">
        <v>72</v>
      </c>
      <c r="IL4" s="107" t="s">
        <v>73</v>
      </c>
      <c r="IM4" s="101" t="s">
        <v>74</v>
      </c>
      <c r="IN4" s="108" t="s">
        <v>75</v>
      </c>
      <c r="IO4" s="109" t="s">
        <v>72</v>
      </c>
      <c r="IP4" s="107" t="s">
        <v>73</v>
      </c>
      <c r="IQ4" s="101" t="s">
        <v>74</v>
      </c>
      <c r="IR4" s="108" t="s">
        <v>75</v>
      </c>
      <c r="IS4" s="109" t="s">
        <v>72</v>
      </c>
      <c r="IT4" s="107" t="s">
        <v>73</v>
      </c>
      <c r="IU4" s="101" t="s">
        <v>74</v>
      </c>
      <c r="IV4" s="108" t="s">
        <v>75</v>
      </c>
      <c r="IW4" s="109" t="s">
        <v>72</v>
      </c>
      <c r="IX4" s="107" t="s">
        <v>73</v>
      </c>
      <c r="IY4" s="101" t="s">
        <v>74</v>
      </c>
      <c r="IZ4" s="108" t="s">
        <v>75</v>
      </c>
      <c r="JA4" s="109" t="s">
        <v>72</v>
      </c>
      <c r="JB4" s="107" t="s">
        <v>73</v>
      </c>
      <c r="JC4" s="101" t="s">
        <v>74</v>
      </c>
      <c r="JD4" s="108" t="s">
        <v>75</v>
      </c>
      <c r="JE4" s="109" t="s">
        <v>72</v>
      </c>
      <c r="JF4" s="107" t="s">
        <v>73</v>
      </c>
      <c r="JG4" s="101" t="s">
        <v>74</v>
      </c>
      <c r="JH4" s="108" t="s">
        <v>75</v>
      </c>
      <c r="JI4" s="109" t="s">
        <v>72</v>
      </c>
      <c r="JJ4" s="107" t="s">
        <v>73</v>
      </c>
      <c r="JK4" s="101" t="s">
        <v>74</v>
      </c>
      <c r="JL4" s="108" t="s">
        <v>75</v>
      </c>
      <c r="JM4" s="109" t="s">
        <v>72</v>
      </c>
      <c r="JN4" s="107" t="s">
        <v>73</v>
      </c>
      <c r="JO4" s="101" t="s">
        <v>74</v>
      </c>
      <c r="JP4" s="108" t="s">
        <v>75</v>
      </c>
      <c r="JQ4" s="109" t="s">
        <v>72</v>
      </c>
      <c r="JR4" s="107" t="s">
        <v>73</v>
      </c>
      <c r="JS4" s="101" t="s">
        <v>74</v>
      </c>
      <c r="JT4" s="108" t="s">
        <v>75</v>
      </c>
      <c r="JU4" s="109" t="s">
        <v>72</v>
      </c>
      <c r="JV4" s="107" t="s">
        <v>73</v>
      </c>
      <c r="JW4" s="101" t="s">
        <v>74</v>
      </c>
      <c r="JX4" s="108" t="s">
        <v>75</v>
      </c>
      <c r="JY4" s="109" t="s">
        <v>72</v>
      </c>
      <c r="JZ4" s="107" t="s">
        <v>73</v>
      </c>
      <c r="KA4" s="101" t="s">
        <v>74</v>
      </c>
      <c r="KB4" s="108" t="s">
        <v>75</v>
      </c>
      <c r="KC4" s="109" t="s">
        <v>72</v>
      </c>
      <c r="KD4" s="107" t="s">
        <v>73</v>
      </c>
      <c r="KE4" s="101" t="s">
        <v>74</v>
      </c>
      <c r="KF4" s="108" t="s">
        <v>75</v>
      </c>
      <c r="KG4" s="109" t="s">
        <v>72</v>
      </c>
      <c r="KH4" s="107" t="s">
        <v>73</v>
      </c>
      <c r="KI4" s="101" t="s">
        <v>74</v>
      </c>
      <c r="KJ4" s="108" t="s">
        <v>75</v>
      </c>
      <c r="KK4" s="109" t="s">
        <v>72</v>
      </c>
      <c r="KL4" s="107" t="s">
        <v>73</v>
      </c>
      <c r="KM4" s="101" t="s">
        <v>74</v>
      </c>
      <c r="KN4" s="108" t="s">
        <v>75</v>
      </c>
      <c r="KO4" s="109" t="s">
        <v>72</v>
      </c>
      <c r="KP4" s="107" t="s">
        <v>73</v>
      </c>
      <c r="KQ4" s="101" t="s">
        <v>74</v>
      </c>
      <c r="KR4" s="108" t="s">
        <v>75</v>
      </c>
      <c r="KS4" s="109" t="s">
        <v>72</v>
      </c>
      <c r="KU4" s="102" t="s">
        <v>73</v>
      </c>
      <c r="KV4" s="103" t="s">
        <v>74</v>
      </c>
      <c r="KW4" s="104" t="s">
        <v>75</v>
      </c>
      <c r="KX4" s="105" t="s">
        <v>72</v>
      </c>
      <c r="KY4" s="102" t="s">
        <v>73</v>
      </c>
      <c r="KZ4" s="103" t="s">
        <v>74</v>
      </c>
      <c r="LA4" s="104" t="s">
        <v>75</v>
      </c>
      <c r="LB4" s="105" t="s">
        <v>72</v>
      </c>
      <c r="LC4" s="110" t="s">
        <v>73</v>
      </c>
      <c r="LD4" s="101" t="s">
        <v>74</v>
      </c>
      <c r="LE4" s="108" t="s">
        <v>75</v>
      </c>
      <c r="LF4" s="109" t="s">
        <v>72</v>
      </c>
      <c r="LG4" s="110" t="s">
        <v>73</v>
      </c>
      <c r="LH4" s="101" t="s">
        <v>74</v>
      </c>
      <c r="LI4" s="108" t="s">
        <v>75</v>
      </c>
      <c r="LJ4" s="109" t="s">
        <v>72</v>
      </c>
      <c r="LK4" s="110" t="s">
        <v>73</v>
      </c>
      <c r="LL4" s="101" t="s">
        <v>74</v>
      </c>
      <c r="LM4" s="108" t="s">
        <v>75</v>
      </c>
      <c r="LN4" s="109" t="s">
        <v>72</v>
      </c>
      <c r="LO4" s="107" t="s">
        <v>73</v>
      </c>
      <c r="LP4" s="101" t="s">
        <v>74</v>
      </c>
      <c r="LQ4" s="108" t="s">
        <v>75</v>
      </c>
      <c r="LR4" s="109" t="s">
        <v>72</v>
      </c>
      <c r="LS4" s="107" t="s">
        <v>73</v>
      </c>
      <c r="LT4" s="101" t="s">
        <v>74</v>
      </c>
      <c r="LU4" s="108" t="s">
        <v>75</v>
      </c>
      <c r="LV4" s="109" t="s">
        <v>72</v>
      </c>
      <c r="LW4" s="107" t="s">
        <v>73</v>
      </c>
      <c r="LX4" s="101" t="s">
        <v>74</v>
      </c>
      <c r="LY4" s="108" t="s">
        <v>75</v>
      </c>
      <c r="LZ4" s="109" t="s">
        <v>72</v>
      </c>
      <c r="MA4" s="107" t="s">
        <v>73</v>
      </c>
      <c r="MB4" s="101" t="s">
        <v>74</v>
      </c>
      <c r="MC4" s="108" t="s">
        <v>75</v>
      </c>
      <c r="MD4" s="109" t="s">
        <v>72</v>
      </c>
      <c r="ME4" s="107" t="s">
        <v>73</v>
      </c>
      <c r="MF4" s="101" t="s">
        <v>74</v>
      </c>
      <c r="MG4" s="108" t="s">
        <v>75</v>
      </c>
      <c r="MH4" s="109" t="s">
        <v>72</v>
      </c>
      <c r="MI4" s="107" t="s">
        <v>73</v>
      </c>
      <c r="MJ4" s="101" t="s">
        <v>74</v>
      </c>
      <c r="MK4" s="108" t="s">
        <v>75</v>
      </c>
      <c r="ML4" s="109" t="s">
        <v>72</v>
      </c>
      <c r="MM4" s="107" t="s">
        <v>73</v>
      </c>
      <c r="MN4" s="101" t="s">
        <v>74</v>
      </c>
      <c r="MO4" s="108" t="s">
        <v>75</v>
      </c>
      <c r="MP4" s="109" t="s">
        <v>72</v>
      </c>
      <c r="MQ4" s="107" t="s">
        <v>73</v>
      </c>
      <c r="MR4" s="101" t="s">
        <v>74</v>
      </c>
      <c r="MS4" s="108" t="s">
        <v>75</v>
      </c>
      <c r="MT4" s="109" t="s">
        <v>72</v>
      </c>
      <c r="MU4" s="107" t="s">
        <v>73</v>
      </c>
      <c r="MV4" s="101" t="s">
        <v>74</v>
      </c>
      <c r="MW4" s="108" t="s">
        <v>75</v>
      </c>
      <c r="MX4" s="109" t="s">
        <v>72</v>
      </c>
      <c r="MY4" s="107" t="s">
        <v>73</v>
      </c>
      <c r="MZ4" s="101" t="s">
        <v>74</v>
      </c>
      <c r="NA4" s="108" t="s">
        <v>75</v>
      </c>
      <c r="NB4" s="109" t="s">
        <v>72</v>
      </c>
      <c r="NC4" s="107" t="s">
        <v>73</v>
      </c>
      <c r="ND4" s="101" t="s">
        <v>74</v>
      </c>
      <c r="NE4" s="108" t="s">
        <v>75</v>
      </c>
      <c r="NF4" s="109" t="s">
        <v>72</v>
      </c>
      <c r="NG4" s="107" t="s">
        <v>73</v>
      </c>
      <c r="NH4" s="101" t="s">
        <v>74</v>
      </c>
      <c r="NI4" s="108" t="s">
        <v>75</v>
      </c>
      <c r="NJ4" s="109" t="s">
        <v>72</v>
      </c>
      <c r="NK4" s="107" t="s">
        <v>73</v>
      </c>
      <c r="NL4" s="101" t="s">
        <v>74</v>
      </c>
      <c r="NM4" s="108" t="s">
        <v>75</v>
      </c>
      <c r="NN4" s="109" t="s">
        <v>72</v>
      </c>
      <c r="NO4" s="107" t="s">
        <v>73</v>
      </c>
      <c r="NP4" s="101" t="s">
        <v>74</v>
      </c>
      <c r="NQ4" s="108" t="s">
        <v>75</v>
      </c>
      <c r="NR4" s="109" t="s">
        <v>72</v>
      </c>
      <c r="NS4" s="107" t="s">
        <v>73</v>
      </c>
      <c r="NT4" s="101" t="s">
        <v>74</v>
      </c>
      <c r="NU4" s="108" t="s">
        <v>75</v>
      </c>
      <c r="NV4" s="109" t="s">
        <v>72</v>
      </c>
      <c r="NW4" s="107" t="s">
        <v>73</v>
      </c>
      <c r="NX4" s="101" t="s">
        <v>74</v>
      </c>
      <c r="NY4" s="108" t="s">
        <v>75</v>
      </c>
      <c r="NZ4" s="109" t="s">
        <v>72</v>
      </c>
      <c r="OA4" s="107" t="s">
        <v>73</v>
      </c>
      <c r="OB4" s="101" t="s">
        <v>74</v>
      </c>
      <c r="OC4" s="108" t="s">
        <v>75</v>
      </c>
      <c r="OD4" s="109" t="s">
        <v>72</v>
      </c>
      <c r="OE4" s="107" t="s">
        <v>73</v>
      </c>
      <c r="OF4" s="101" t="s">
        <v>74</v>
      </c>
      <c r="OG4" s="108" t="s">
        <v>75</v>
      </c>
      <c r="OH4" s="109" t="s">
        <v>72</v>
      </c>
      <c r="OI4" s="107" t="s">
        <v>73</v>
      </c>
      <c r="OJ4" s="101" t="s">
        <v>74</v>
      </c>
      <c r="OK4" s="108" t="s">
        <v>75</v>
      </c>
      <c r="OL4" s="109" t="s">
        <v>72</v>
      </c>
      <c r="OM4" s="107" t="s">
        <v>73</v>
      </c>
      <c r="ON4" s="101" t="s">
        <v>74</v>
      </c>
      <c r="OO4" s="108" t="s">
        <v>75</v>
      </c>
      <c r="OP4" s="109" t="s">
        <v>72</v>
      </c>
      <c r="OQ4" s="107" t="s">
        <v>73</v>
      </c>
      <c r="OR4" s="101" t="s">
        <v>74</v>
      </c>
      <c r="OS4" s="108" t="s">
        <v>75</v>
      </c>
      <c r="OT4" s="109" t="s">
        <v>72</v>
      </c>
      <c r="OU4" s="107" t="s">
        <v>73</v>
      </c>
      <c r="OV4" s="101" t="s">
        <v>74</v>
      </c>
      <c r="OW4" s="108" t="s">
        <v>75</v>
      </c>
      <c r="OX4" s="109" t="s">
        <v>72</v>
      </c>
      <c r="OY4" s="107" t="s">
        <v>73</v>
      </c>
      <c r="OZ4" s="101" t="s">
        <v>74</v>
      </c>
      <c r="PA4" s="108" t="s">
        <v>75</v>
      </c>
      <c r="PB4" s="109" t="s">
        <v>72</v>
      </c>
      <c r="PC4" s="107" t="s">
        <v>73</v>
      </c>
      <c r="PD4" s="101" t="s">
        <v>74</v>
      </c>
      <c r="PE4" s="108" t="s">
        <v>75</v>
      </c>
      <c r="PF4" s="109" t="s">
        <v>72</v>
      </c>
      <c r="PG4" s="107" t="s">
        <v>73</v>
      </c>
      <c r="PH4" s="101" t="s">
        <v>74</v>
      </c>
      <c r="PI4" s="108" t="s">
        <v>75</v>
      </c>
      <c r="PJ4" s="109" t="s">
        <v>72</v>
      </c>
      <c r="PK4" s="107" t="s">
        <v>73</v>
      </c>
      <c r="PL4" s="101" t="s">
        <v>74</v>
      </c>
      <c r="PM4" s="108" t="s">
        <v>75</v>
      </c>
      <c r="PN4" s="109" t="s">
        <v>72</v>
      </c>
      <c r="PP4" s="107" t="s">
        <v>73</v>
      </c>
      <c r="PQ4" s="101" t="s">
        <v>74</v>
      </c>
      <c r="PR4" s="108" t="s">
        <v>75</v>
      </c>
      <c r="PS4" s="109" t="s">
        <v>72</v>
      </c>
      <c r="PT4" s="107" t="s">
        <v>73</v>
      </c>
      <c r="PU4" s="101" t="s">
        <v>74</v>
      </c>
      <c r="PV4" s="108" t="s">
        <v>75</v>
      </c>
      <c r="PW4" s="109" t="s">
        <v>72</v>
      </c>
      <c r="PX4" s="107" t="s">
        <v>73</v>
      </c>
      <c r="PY4" s="101" t="s">
        <v>74</v>
      </c>
      <c r="PZ4" s="108" t="s">
        <v>75</v>
      </c>
      <c r="QA4" s="109" t="s">
        <v>72</v>
      </c>
      <c r="QB4" s="107" t="s">
        <v>73</v>
      </c>
      <c r="QC4" s="101" t="s">
        <v>74</v>
      </c>
      <c r="QD4" s="108" t="s">
        <v>75</v>
      </c>
      <c r="QE4" s="109" t="s">
        <v>72</v>
      </c>
      <c r="QF4" s="107" t="s">
        <v>73</v>
      </c>
      <c r="QG4" s="101" t="s">
        <v>74</v>
      </c>
      <c r="QH4" s="108" t="s">
        <v>75</v>
      </c>
      <c r="QI4" s="109" t="s">
        <v>72</v>
      </c>
      <c r="QJ4" s="107" t="s">
        <v>73</v>
      </c>
      <c r="QK4" s="101" t="s">
        <v>74</v>
      </c>
      <c r="QL4" s="108" t="s">
        <v>75</v>
      </c>
      <c r="QM4" s="109" t="s">
        <v>72</v>
      </c>
      <c r="QN4" s="107" t="s">
        <v>73</v>
      </c>
      <c r="QO4" s="101" t="s">
        <v>74</v>
      </c>
      <c r="QP4" s="108" t="s">
        <v>75</v>
      </c>
      <c r="QQ4" s="109" t="s">
        <v>72</v>
      </c>
      <c r="QR4" s="107" t="s">
        <v>73</v>
      </c>
      <c r="QS4" s="101" t="s">
        <v>74</v>
      </c>
      <c r="QT4" s="108" t="s">
        <v>75</v>
      </c>
      <c r="QU4" s="109" t="s">
        <v>72</v>
      </c>
      <c r="QV4" s="107" t="s">
        <v>73</v>
      </c>
      <c r="QW4" s="101" t="s">
        <v>74</v>
      </c>
      <c r="QX4" s="108" t="s">
        <v>75</v>
      </c>
      <c r="QY4" s="109" t="s">
        <v>72</v>
      </c>
      <c r="QZ4" s="107" t="s">
        <v>73</v>
      </c>
      <c r="RA4" s="101" t="s">
        <v>74</v>
      </c>
      <c r="RB4" s="108" t="s">
        <v>75</v>
      </c>
      <c r="RC4" s="109" t="s">
        <v>72</v>
      </c>
      <c r="RD4" s="107" t="s">
        <v>73</v>
      </c>
      <c r="RE4" s="101" t="s">
        <v>74</v>
      </c>
      <c r="RF4" s="108" t="s">
        <v>75</v>
      </c>
      <c r="RG4" s="109" t="s">
        <v>72</v>
      </c>
      <c r="RH4" s="107" t="s">
        <v>73</v>
      </c>
      <c r="RI4" s="101" t="s">
        <v>74</v>
      </c>
      <c r="RJ4" s="108" t="s">
        <v>75</v>
      </c>
      <c r="RK4" s="109" t="s">
        <v>72</v>
      </c>
      <c r="RL4" s="107" t="s">
        <v>73</v>
      </c>
      <c r="RM4" s="101" t="s">
        <v>74</v>
      </c>
      <c r="RN4" s="108" t="s">
        <v>75</v>
      </c>
      <c r="RO4" s="109" t="s">
        <v>72</v>
      </c>
      <c r="RP4" s="107" t="s">
        <v>73</v>
      </c>
      <c r="RQ4" s="101" t="s">
        <v>74</v>
      </c>
      <c r="RR4" s="108" t="s">
        <v>75</v>
      </c>
      <c r="RS4" s="109" t="s">
        <v>72</v>
      </c>
      <c r="RT4" s="107" t="s">
        <v>73</v>
      </c>
      <c r="RU4" s="101" t="s">
        <v>74</v>
      </c>
      <c r="RV4" s="108" t="s">
        <v>75</v>
      </c>
      <c r="RW4" s="109" t="s">
        <v>72</v>
      </c>
      <c r="RX4" s="107" t="s">
        <v>73</v>
      </c>
      <c r="RY4" s="101" t="s">
        <v>74</v>
      </c>
      <c r="RZ4" s="108" t="s">
        <v>75</v>
      </c>
      <c r="SA4" s="109" t="s">
        <v>72</v>
      </c>
    </row>
    <row r="5" spans="1:495" x14ac:dyDescent="0.3">
      <c r="A5" s="211"/>
      <c r="B5" s="1"/>
      <c r="C5" s="1" t="s">
        <v>41</v>
      </c>
      <c r="D5" s="8"/>
      <c r="E5" s="19">
        <v>0.41666666666666669</v>
      </c>
      <c r="F5" s="8"/>
      <c r="G5" s="34">
        <v>0.625</v>
      </c>
      <c r="H5" s="275" t="s">
        <v>42</v>
      </c>
      <c r="I5" s="276"/>
      <c r="J5" s="249">
        <v>0.41666666666666669</v>
      </c>
      <c r="K5" s="251"/>
      <c r="L5" s="249">
        <v>0.72916666666666663</v>
      </c>
      <c r="M5" s="251"/>
      <c r="N5" s="249">
        <v>0.47916666666666669</v>
      </c>
      <c r="O5" s="251"/>
      <c r="P5" s="249">
        <v>0.45833333333333331</v>
      </c>
      <c r="Q5" s="251"/>
      <c r="R5" s="41"/>
      <c r="S5" s="42"/>
      <c r="T5" s="249">
        <v>0.58333333333333337</v>
      </c>
      <c r="U5" s="183"/>
      <c r="V5" s="249">
        <v>0.41666666666666669</v>
      </c>
      <c r="W5" s="251"/>
      <c r="X5" s="249">
        <v>0.58333333333333337</v>
      </c>
      <c r="Y5" s="183"/>
      <c r="Z5" s="249">
        <v>0.45833333333333331</v>
      </c>
      <c r="AA5" s="250"/>
      <c r="AB5" s="249">
        <v>0.58333333333333337</v>
      </c>
      <c r="AC5" s="183"/>
      <c r="AD5" s="249">
        <v>0.48958333333333331</v>
      </c>
      <c r="AE5" s="183"/>
      <c r="AF5" s="8"/>
      <c r="AG5" s="9"/>
      <c r="AH5" s="280">
        <v>0.61458333333333337</v>
      </c>
      <c r="AI5" s="281"/>
      <c r="AJ5" s="280">
        <v>0.41666666666666669</v>
      </c>
      <c r="AK5" s="281"/>
      <c r="AL5" s="8"/>
      <c r="AM5" s="9"/>
      <c r="AN5" s="8"/>
      <c r="AO5" s="9"/>
      <c r="AP5" s="266">
        <v>0.625</v>
      </c>
      <c r="AQ5" s="267"/>
      <c r="AR5" s="266">
        <v>0.66666666666666663</v>
      </c>
      <c r="AS5" s="267"/>
      <c r="AT5" s="9"/>
      <c r="AU5" s="8"/>
      <c r="AV5" s="236">
        <v>0.58333333333333337</v>
      </c>
      <c r="AW5" s="238"/>
      <c r="AX5" s="236">
        <v>0.52083333333333337</v>
      </c>
      <c r="AY5" s="238"/>
      <c r="AZ5" s="236">
        <v>0.41666666666666669</v>
      </c>
      <c r="BA5" s="238"/>
      <c r="BB5" s="266">
        <v>0.49652777777777779</v>
      </c>
      <c r="BC5" s="162"/>
      <c r="BD5" s="266">
        <v>0.46875</v>
      </c>
      <c r="BE5" s="267"/>
      <c r="BF5" s="266">
        <v>0.42708333333333331</v>
      </c>
      <c r="BG5" s="267"/>
      <c r="BH5" s="8"/>
      <c r="BI5" s="9"/>
      <c r="BK5" s="247">
        <v>0.53125</v>
      </c>
      <c r="BL5" s="264"/>
      <c r="BM5" s="264"/>
      <c r="BN5" s="276"/>
      <c r="BO5" s="247">
        <v>0.53125</v>
      </c>
      <c r="BP5" s="264"/>
      <c r="BQ5" s="264"/>
      <c r="BR5" s="276"/>
      <c r="BS5" s="247">
        <v>0.45833333333333331</v>
      </c>
      <c r="BT5" s="264"/>
      <c r="BU5" s="264"/>
      <c r="BV5" s="276"/>
      <c r="BW5" s="250">
        <v>0.66666666666666663</v>
      </c>
      <c r="BX5" s="250"/>
      <c r="BY5" s="250"/>
      <c r="BZ5" s="251"/>
      <c r="CA5" s="250">
        <v>0.66666666666666663</v>
      </c>
      <c r="CB5" s="250"/>
      <c r="CC5" s="250"/>
      <c r="CD5" s="251"/>
      <c r="CE5" s="250">
        <v>0.625</v>
      </c>
      <c r="CF5" s="250"/>
      <c r="CG5" s="250"/>
      <c r="CH5" s="251"/>
      <c r="CI5" s="249"/>
      <c r="CJ5" s="250"/>
      <c r="CK5" s="250"/>
      <c r="CL5" s="251"/>
      <c r="CM5" s="249" t="s">
        <v>76</v>
      </c>
      <c r="CN5" s="250"/>
      <c r="CO5" s="250"/>
      <c r="CP5" s="251"/>
      <c r="CQ5" s="249" t="s">
        <v>77</v>
      </c>
      <c r="CR5" s="250"/>
      <c r="CS5" s="250"/>
      <c r="CT5" s="251"/>
      <c r="CU5" s="249" t="s">
        <v>78</v>
      </c>
      <c r="CV5" s="250"/>
      <c r="CW5" s="250"/>
      <c r="CX5" s="251"/>
      <c r="CY5" s="249">
        <v>0.70833333333333337</v>
      </c>
      <c r="CZ5" s="250"/>
      <c r="DA5" s="250"/>
      <c r="DB5" s="251"/>
      <c r="DC5" s="249">
        <v>0.44791666666666669</v>
      </c>
      <c r="DD5" s="250"/>
      <c r="DE5" s="250"/>
      <c r="DF5" s="251"/>
      <c r="DG5" s="249"/>
      <c r="DH5" s="250"/>
      <c r="DI5" s="250"/>
      <c r="DJ5" s="251"/>
      <c r="DK5" s="249"/>
      <c r="DL5" s="250"/>
      <c r="DM5" s="250"/>
      <c r="DN5" s="251"/>
      <c r="DO5" s="249">
        <v>0.70833333333333337</v>
      </c>
      <c r="DP5" s="250"/>
      <c r="DQ5" s="250"/>
      <c r="DR5" s="251"/>
      <c r="DS5" s="249">
        <v>0.70833333333333337</v>
      </c>
      <c r="DT5" s="250"/>
      <c r="DU5" s="250"/>
      <c r="DV5" s="251"/>
      <c r="DW5" s="249">
        <v>0.77083333333333337</v>
      </c>
      <c r="DX5" s="250"/>
      <c r="DY5" s="250"/>
      <c r="DZ5" s="251"/>
      <c r="EA5" s="249" t="s">
        <v>83</v>
      </c>
      <c r="EB5" s="250"/>
      <c r="EC5" s="250"/>
      <c r="ED5" s="251"/>
      <c r="EE5" s="247">
        <v>0.72916666666666663</v>
      </c>
      <c r="EF5" s="237"/>
      <c r="EG5" s="237"/>
      <c r="EH5" s="238"/>
      <c r="EI5" s="236">
        <v>0.77083333333333337</v>
      </c>
      <c r="EJ5" s="237"/>
      <c r="EK5" s="237"/>
      <c r="EL5" s="238"/>
      <c r="EM5" s="266"/>
      <c r="EN5" s="267"/>
      <c r="EO5" s="236">
        <v>0.71875</v>
      </c>
      <c r="EP5" s="237"/>
      <c r="EQ5" s="237"/>
      <c r="ER5" s="238"/>
      <c r="ES5" s="266"/>
      <c r="ET5" s="267"/>
      <c r="EU5" s="8"/>
      <c r="EV5" s="9"/>
      <c r="EW5" s="259" t="s">
        <v>9</v>
      </c>
      <c r="EX5" s="259"/>
      <c r="EY5" s="259"/>
      <c r="EZ5" s="259"/>
      <c r="FA5" s="266">
        <v>0.75</v>
      </c>
      <c r="FB5" s="250"/>
      <c r="FC5" s="250"/>
      <c r="FD5" s="267"/>
      <c r="FE5" s="266">
        <v>0.77083333333333337</v>
      </c>
      <c r="FF5" s="250"/>
      <c r="FG5" s="250"/>
      <c r="FH5" s="267"/>
      <c r="FI5" s="266">
        <v>0.77083333333333337</v>
      </c>
      <c r="FJ5" s="250"/>
      <c r="FK5" s="250"/>
      <c r="FL5" s="267"/>
      <c r="FM5" s="266"/>
      <c r="FN5" s="267"/>
      <c r="FO5" s="8"/>
      <c r="FP5" s="9"/>
      <c r="FQ5" s="266"/>
      <c r="FR5" s="267"/>
      <c r="FS5" s="8"/>
      <c r="FT5" s="9"/>
      <c r="FU5" s="266">
        <v>0.77083333333333337</v>
      </c>
      <c r="FV5" s="250"/>
      <c r="FW5" s="250"/>
      <c r="FX5" s="267"/>
      <c r="FZ5" s="142">
        <v>0.53125</v>
      </c>
      <c r="GA5" s="141"/>
      <c r="GB5" s="141"/>
      <c r="GC5" s="145"/>
      <c r="GD5" s="142"/>
      <c r="GE5" s="141"/>
      <c r="GF5" s="141"/>
      <c r="GG5" s="145"/>
      <c r="GH5" s="247">
        <v>0.45833333333333331</v>
      </c>
      <c r="GI5" s="237"/>
      <c r="GJ5" s="237"/>
      <c r="GK5" s="248"/>
      <c r="GL5" s="249">
        <v>0.75</v>
      </c>
      <c r="GM5" s="250"/>
      <c r="GN5" s="250"/>
      <c r="GO5" s="251"/>
      <c r="GP5" s="249"/>
      <c r="GQ5" s="250"/>
      <c r="GR5" s="250"/>
      <c r="GS5" s="251"/>
      <c r="GT5" s="249">
        <v>0.77430555555555558</v>
      </c>
      <c r="GU5" s="250"/>
      <c r="GV5" s="250"/>
      <c r="GW5" s="251"/>
      <c r="GX5" s="249">
        <v>0.80138888888888893</v>
      </c>
      <c r="GY5" s="250"/>
      <c r="GZ5" s="250"/>
      <c r="HA5" s="251"/>
      <c r="HB5" s="249" t="s">
        <v>87</v>
      </c>
      <c r="HC5" s="250"/>
      <c r="HD5" s="250"/>
      <c r="HE5" s="251"/>
      <c r="HF5" s="249" t="s">
        <v>88</v>
      </c>
      <c r="HG5" s="250"/>
      <c r="HH5" s="250"/>
      <c r="HI5" s="251"/>
      <c r="HJ5" s="249" t="s">
        <v>87</v>
      </c>
      <c r="HK5" s="250"/>
      <c r="HL5" s="250"/>
      <c r="HM5" s="251"/>
      <c r="HN5" s="256">
        <v>0.79166666666666663</v>
      </c>
      <c r="HO5" s="257"/>
      <c r="HP5" s="257"/>
      <c r="HQ5" s="258"/>
      <c r="HR5" s="256">
        <v>0.44791666666666669</v>
      </c>
      <c r="HS5" s="257"/>
      <c r="HT5" s="257"/>
      <c r="HU5" s="258"/>
      <c r="HV5" s="256">
        <v>0.79861111111111116</v>
      </c>
      <c r="HW5" s="257"/>
      <c r="HX5" s="257"/>
      <c r="HY5" s="258"/>
      <c r="HZ5" s="256">
        <v>0.78125</v>
      </c>
      <c r="IA5" s="257"/>
      <c r="IB5" s="257"/>
      <c r="IC5" s="258"/>
      <c r="ID5" s="256">
        <v>0.8125</v>
      </c>
      <c r="IE5" s="257"/>
      <c r="IF5" s="257"/>
      <c r="IG5" s="258"/>
      <c r="IH5" s="256">
        <v>0.79166666666666663</v>
      </c>
      <c r="II5" s="257"/>
      <c r="IJ5" s="257"/>
      <c r="IK5" s="258"/>
      <c r="IL5" s="256">
        <v>0.72916666666666663</v>
      </c>
      <c r="IM5" s="257"/>
      <c r="IN5" s="257"/>
      <c r="IO5" s="258"/>
      <c r="IP5" s="138"/>
      <c r="IQ5" s="139"/>
      <c r="IR5" s="139"/>
      <c r="IS5" s="140"/>
      <c r="IT5" s="142"/>
      <c r="IU5" s="143"/>
      <c r="IV5" s="143"/>
      <c r="IW5" s="144"/>
      <c r="IX5" s="236">
        <v>0.77083333333333337</v>
      </c>
      <c r="IY5" s="237"/>
      <c r="IZ5" s="237"/>
      <c r="JA5" s="238"/>
      <c r="JB5" s="236">
        <v>0.77083333333333337</v>
      </c>
      <c r="JC5" s="237"/>
      <c r="JD5" s="237"/>
      <c r="JE5" s="238"/>
      <c r="JF5" s="236">
        <v>0.77083333333333337</v>
      </c>
      <c r="JG5" s="237"/>
      <c r="JH5" s="237"/>
      <c r="JI5" s="238"/>
      <c r="JJ5" s="236">
        <v>0.6875</v>
      </c>
      <c r="JK5" s="237"/>
      <c r="JL5" s="237"/>
      <c r="JM5" s="238"/>
      <c r="JN5" s="236">
        <v>0.72916666666666663</v>
      </c>
      <c r="JO5" s="237"/>
      <c r="JP5" s="237"/>
      <c r="JQ5" s="238"/>
      <c r="JR5" s="236"/>
      <c r="JS5" s="237"/>
      <c r="JT5" s="237"/>
      <c r="JU5" s="238"/>
      <c r="JV5" s="236">
        <v>0.4375</v>
      </c>
      <c r="JW5" s="237"/>
      <c r="JX5" s="237"/>
      <c r="JY5" s="238"/>
      <c r="JZ5" s="236">
        <v>0.4375</v>
      </c>
      <c r="KA5" s="237"/>
      <c r="KB5" s="237"/>
      <c r="KC5" s="238"/>
      <c r="KD5" s="236" t="s">
        <v>89</v>
      </c>
      <c r="KE5" s="237"/>
      <c r="KF5" s="237"/>
      <c r="KG5" s="238"/>
      <c r="KH5" s="236" t="s">
        <v>90</v>
      </c>
      <c r="KI5" s="237"/>
      <c r="KJ5" s="237"/>
      <c r="KK5" s="238"/>
      <c r="KL5" s="236" t="s">
        <v>91</v>
      </c>
      <c r="KM5" s="237"/>
      <c r="KN5" s="237"/>
      <c r="KO5" s="238"/>
      <c r="KP5" s="236">
        <v>0.78125</v>
      </c>
      <c r="KQ5" s="237"/>
      <c r="KR5" s="237"/>
      <c r="KS5" s="238"/>
      <c r="KU5" s="142">
        <v>0.53125</v>
      </c>
      <c r="KV5" s="141"/>
      <c r="KW5" s="141"/>
      <c r="KX5" s="145"/>
      <c r="KY5" s="142"/>
      <c r="KZ5" s="141"/>
      <c r="LA5" s="141"/>
      <c r="LB5" s="145"/>
      <c r="LC5" s="247"/>
      <c r="LD5" s="237"/>
      <c r="LE5" s="237"/>
      <c r="LF5" s="248"/>
      <c r="LG5" s="249">
        <v>0.75</v>
      </c>
      <c r="LH5" s="250"/>
      <c r="LI5" s="250"/>
      <c r="LJ5" s="251"/>
      <c r="LK5" s="249"/>
      <c r="LL5" s="250"/>
      <c r="LM5" s="250"/>
      <c r="LN5" s="251"/>
      <c r="LO5" s="249"/>
      <c r="LP5" s="250"/>
      <c r="LQ5" s="250"/>
      <c r="LR5" s="251"/>
      <c r="LS5" s="249"/>
      <c r="LT5" s="250"/>
      <c r="LU5" s="250"/>
      <c r="LV5" s="251"/>
      <c r="LW5" s="249" t="s">
        <v>87</v>
      </c>
      <c r="LX5" s="250"/>
      <c r="LY5" s="250"/>
      <c r="LZ5" s="251"/>
      <c r="MA5" s="249"/>
      <c r="MB5" s="250"/>
      <c r="MC5" s="250"/>
      <c r="MD5" s="251"/>
      <c r="ME5" s="249" t="s">
        <v>93</v>
      </c>
      <c r="MF5" s="250"/>
      <c r="MG5" s="250"/>
      <c r="MH5" s="251"/>
      <c r="MI5" s="256">
        <v>0.75</v>
      </c>
      <c r="MJ5" s="257"/>
      <c r="MK5" s="257"/>
      <c r="ML5" s="258"/>
      <c r="MM5" s="256">
        <v>0.75</v>
      </c>
      <c r="MN5" s="257"/>
      <c r="MO5" s="257"/>
      <c r="MP5" s="258"/>
      <c r="MQ5" s="256">
        <v>0.79861111111111116</v>
      </c>
      <c r="MR5" s="257"/>
      <c r="MS5" s="257"/>
      <c r="MT5" s="258"/>
      <c r="MU5" s="256">
        <v>0.78125</v>
      </c>
      <c r="MV5" s="257"/>
      <c r="MW5" s="257"/>
      <c r="MX5" s="258"/>
      <c r="MY5" s="256"/>
      <c r="MZ5" s="257"/>
      <c r="NA5" s="257"/>
      <c r="NB5" s="258"/>
      <c r="NC5" s="256"/>
      <c r="ND5" s="257"/>
      <c r="NE5" s="257"/>
      <c r="NF5" s="258"/>
      <c r="NG5" s="256">
        <v>0.72916666666666663</v>
      </c>
      <c r="NH5" s="257"/>
      <c r="NI5" s="257"/>
      <c r="NJ5" s="258"/>
      <c r="NK5" s="138"/>
      <c r="NL5" s="139"/>
      <c r="NM5" s="139"/>
      <c r="NN5" s="140"/>
      <c r="NO5" s="256">
        <v>0.77083333333333337</v>
      </c>
      <c r="NP5" s="257"/>
      <c r="NQ5" s="257"/>
      <c r="NR5" s="258"/>
      <c r="NS5" s="236">
        <v>0.48958333333333331</v>
      </c>
      <c r="NT5" s="237"/>
      <c r="NU5" s="237"/>
      <c r="NV5" s="238"/>
      <c r="NW5" s="236">
        <v>0.77083333333333337</v>
      </c>
      <c r="NX5" s="237"/>
      <c r="NY5" s="237"/>
      <c r="NZ5" s="238"/>
      <c r="OA5" s="236">
        <v>0.77083333333333337</v>
      </c>
      <c r="OB5" s="237"/>
      <c r="OC5" s="237"/>
      <c r="OD5" s="238"/>
      <c r="OE5" s="236">
        <v>0.6875</v>
      </c>
      <c r="OF5" s="237"/>
      <c r="OG5" s="237"/>
      <c r="OH5" s="238"/>
      <c r="OI5" s="236">
        <v>0.78125</v>
      </c>
      <c r="OJ5" s="237"/>
      <c r="OK5" s="237"/>
      <c r="OL5" s="238"/>
      <c r="OM5" s="236"/>
      <c r="ON5" s="237"/>
      <c r="OO5" s="237"/>
      <c r="OP5" s="238"/>
      <c r="OQ5" s="236"/>
      <c r="OR5" s="237"/>
      <c r="OS5" s="237"/>
      <c r="OT5" s="238"/>
      <c r="OU5" s="236">
        <v>0.79166666666666663</v>
      </c>
      <c r="OV5" s="237"/>
      <c r="OW5" s="237"/>
      <c r="OX5" s="238"/>
      <c r="OY5" s="236" t="s">
        <v>89</v>
      </c>
      <c r="OZ5" s="237"/>
      <c r="PA5" s="237"/>
      <c r="PB5" s="238"/>
      <c r="PC5" s="236" t="s">
        <v>90</v>
      </c>
      <c r="PD5" s="237"/>
      <c r="PE5" s="237"/>
      <c r="PF5" s="238"/>
      <c r="PG5" s="236" t="s">
        <v>91</v>
      </c>
      <c r="PH5" s="237"/>
      <c r="PI5" s="237"/>
      <c r="PJ5" s="238"/>
      <c r="PK5" s="236">
        <v>0.78125</v>
      </c>
      <c r="PL5" s="237"/>
      <c r="PM5" s="237"/>
      <c r="PN5" s="238"/>
      <c r="PP5" s="236">
        <v>0.75694444444444442</v>
      </c>
      <c r="PQ5" s="237"/>
      <c r="PR5" s="237"/>
      <c r="PS5" s="238"/>
      <c r="PT5" s="236">
        <v>0.75694444444444442</v>
      </c>
      <c r="PU5" s="237"/>
      <c r="PV5" s="237"/>
      <c r="PW5" s="238"/>
      <c r="PX5" s="236">
        <v>0.77777777777777779</v>
      </c>
      <c r="PY5" s="237"/>
      <c r="PZ5" s="237"/>
      <c r="QA5" s="238"/>
      <c r="QB5" s="236">
        <v>0.77083333333333337</v>
      </c>
      <c r="QC5" s="237"/>
      <c r="QD5" s="237"/>
      <c r="QE5" s="238"/>
      <c r="QF5" s="236">
        <v>0.72222222222222221</v>
      </c>
      <c r="QG5" s="237"/>
      <c r="QH5" s="237"/>
      <c r="QI5" s="238"/>
      <c r="QJ5" s="236">
        <v>0.72222222222222221</v>
      </c>
      <c r="QK5" s="237"/>
      <c r="QL5" s="237"/>
      <c r="QM5" s="238"/>
      <c r="QN5" s="236">
        <v>0.74305555555555558</v>
      </c>
      <c r="QO5" s="237"/>
      <c r="QP5" s="237"/>
      <c r="QQ5" s="238"/>
      <c r="QR5" s="236">
        <v>0.74305555555555558</v>
      </c>
      <c r="QS5" s="237"/>
      <c r="QT5" s="237"/>
      <c r="QU5" s="238"/>
      <c r="QV5" s="236">
        <v>0.74305555555555558</v>
      </c>
      <c r="QW5" s="237"/>
      <c r="QX5" s="237"/>
      <c r="QY5" s="238"/>
      <c r="QZ5" s="236">
        <v>0.74305555555555558</v>
      </c>
      <c r="RA5" s="237"/>
      <c r="RB5" s="237"/>
      <c r="RC5" s="238"/>
      <c r="RD5" s="236">
        <v>0.74305555555555558</v>
      </c>
      <c r="RE5" s="237"/>
      <c r="RF5" s="237"/>
      <c r="RG5" s="238"/>
      <c r="RH5" s="236">
        <v>0.74305555555555558</v>
      </c>
      <c r="RI5" s="237"/>
      <c r="RJ5" s="237"/>
      <c r="RK5" s="238"/>
      <c r="RL5" s="236">
        <v>0.74305555555555558</v>
      </c>
      <c r="RM5" s="237"/>
      <c r="RN5" s="237"/>
      <c r="RO5" s="238"/>
      <c r="RP5" s="236">
        <v>0.74305555555555558</v>
      </c>
      <c r="RQ5" s="237"/>
      <c r="RR5" s="237"/>
      <c r="RS5" s="238"/>
      <c r="RT5" s="236">
        <v>0.74305555555555558</v>
      </c>
      <c r="RU5" s="237"/>
      <c r="RV5" s="237"/>
      <c r="RW5" s="238"/>
      <c r="RX5" s="236">
        <v>0.70138888888888884</v>
      </c>
      <c r="RY5" s="237"/>
      <c r="RZ5" s="237"/>
      <c r="SA5" s="238"/>
    </row>
    <row r="6" spans="1:495" ht="14.4" customHeight="1" x14ac:dyDescent="0.3">
      <c r="A6" s="291">
        <v>1</v>
      </c>
      <c r="B6" s="26" t="s">
        <v>5</v>
      </c>
      <c r="C6" s="26" t="s">
        <v>47</v>
      </c>
      <c r="D6" s="282" t="s">
        <v>6</v>
      </c>
      <c r="E6" s="32">
        <v>1319190</v>
      </c>
      <c r="F6" s="190" t="s">
        <v>7</v>
      </c>
      <c r="G6" s="36">
        <v>1319190</v>
      </c>
      <c r="H6" s="46">
        <v>1319190</v>
      </c>
      <c r="I6" s="47">
        <f t="shared" ref="I6:I26" si="0">H6-G6</f>
        <v>0</v>
      </c>
      <c r="J6" s="46">
        <v>1319190</v>
      </c>
      <c r="K6" s="47">
        <f>J6-H6</f>
        <v>0</v>
      </c>
      <c r="L6" s="46">
        <v>1319190</v>
      </c>
      <c r="M6" s="47">
        <f>J6-L6</f>
        <v>0</v>
      </c>
      <c r="N6" s="46">
        <f>1315792+3398</f>
        <v>1319190</v>
      </c>
      <c r="O6" s="47">
        <f>N6-L6</f>
        <v>0</v>
      </c>
      <c r="P6" s="46">
        <f>1315792+3398</f>
        <v>1319190</v>
      </c>
      <c r="Q6" s="47">
        <f>P6-N6</f>
        <v>0</v>
      </c>
      <c r="R6" s="230" t="s">
        <v>7</v>
      </c>
      <c r="S6" s="231"/>
      <c r="T6" s="46"/>
      <c r="U6" s="36"/>
      <c r="V6" s="46"/>
      <c r="W6" s="47"/>
      <c r="X6" s="39"/>
      <c r="Y6" s="32"/>
      <c r="Z6" s="32"/>
      <c r="AA6" s="36"/>
      <c r="AB6" s="46"/>
      <c r="AC6" s="47"/>
      <c r="AD6" s="39"/>
      <c r="AE6" s="32"/>
      <c r="AF6" s="230" t="s">
        <v>7</v>
      </c>
      <c r="AG6" s="231"/>
      <c r="AH6" s="27"/>
      <c r="AI6" s="32"/>
      <c r="AJ6" s="27"/>
      <c r="AK6" s="32"/>
      <c r="AL6" s="230" t="s">
        <v>9</v>
      </c>
      <c r="AM6" s="231"/>
      <c r="AN6" s="230" t="s">
        <v>9</v>
      </c>
      <c r="AO6" s="231"/>
      <c r="AP6" s="27"/>
      <c r="AQ6" s="32"/>
      <c r="AR6" s="27"/>
      <c r="AS6" s="32"/>
      <c r="AT6" s="284" t="s">
        <v>7</v>
      </c>
      <c r="AU6" s="284"/>
      <c r="AV6" s="27"/>
      <c r="AW6" s="32"/>
      <c r="AX6" s="27"/>
      <c r="AY6" s="32"/>
      <c r="AZ6" s="27"/>
      <c r="BA6" s="32"/>
      <c r="BB6" s="27"/>
      <c r="BC6" s="32"/>
      <c r="BD6" s="27"/>
      <c r="BE6" s="32"/>
      <c r="BF6" s="27"/>
      <c r="BG6" s="32"/>
      <c r="BH6" s="269" t="s">
        <v>7</v>
      </c>
      <c r="BI6" s="269"/>
      <c r="BJ6" s="18"/>
      <c r="BK6" s="113"/>
      <c r="BL6" s="114"/>
      <c r="BM6" s="114"/>
      <c r="BN6" s="115"/>
      <c r="BO6" s="113"/>
      <c r="BP6" s="114"/>
      <c r="BQ6" s="114"/>
      <c r="BR6" s="115"/>
      <c r="BS6" s="113"/>
      <c r="BT6" s="114"/>
      <c r="BU6" s="114"/>
      <c r="BV6" s="115"/>
      <c r="BW6" s="113">
        <v>1319148</v>
      </c>
      <c r="BX6" s="114">
        <v>25155</v>
      </c>
      <c r="BY6" s="114">
        <f t="shared" ref="BY6:BY11" si="1">BW6+BX6</f>
        <v>1344303</v>
      </c>
      <c r="BZ6" s="115"/>
      <c r="CA6" s="113">
        <v>1319490</v>
      </c>
      <c r="CB6" s="114">
        <v>25154</v>
      </c>
      <c r="CC6" s="114">
        <f t="shared" ref="CC6:CC7" si="2">CA6+CB6</f>
        <v>1344644</v>
      </c>
      <c r="CD6" s="115">
        <f t="shared" ref="CD6:CD11" si="3">CC6-BY6</f>
        <v>341</v>
      </c>
      <c r="CE6" s="113">
        <v>1320954</v>
      </c>
      <c r="CF6" s="114">
        <v>25154</v>
      </c>
      <c r="CG6" s="114">
        <f t="shared" ref="CG6:CG11" si="4">CE6+CF6</f>
        <v>1346108</v>
      </c>
      <c r="CH6" s="115">
        <f t="shared" ref="CH6:CH11" si="5">CG6-CC6</f>
        <v>1464</v>
      </c>
      <c r="CI6" s="286" t="s">
        <v>7</v>
      </c>
      <c r="CJ6" s="239"/>
      <c r="CK6" s="239"/>
      <c r="CL6" s="253"/>
      <c r="CM6" s="113">
        <v>1321133</v>
      </c>
      <c r="CN6" s="114">
        <v>25154</v>
      </c>
      <c r="CO6" s="114">
        <f t="shared" ref="CO6" si="6">CM6+CN6</f>
        <v>1346287</v>
      </c>
      <c r="CP6" s="115">
        <f t="shared" ref="CP6:CP11" si="7">CO6-CG6</f>
        <v>179</v>
      </c>
      <c r="CQ6" s="113">
        <v>1328838</v>
      </c>
      <c r="CR6" s="114">
        <v>25154</v>
      </c>
      <c r="CS6" s="114">
        <f t="shared" ref="CS6" si="8">CQ6+CR6</f>
        <v>1353992</v>
      </c>
      <c r="CT6" s="115">
        <f t="shared" ref="CT6:CT11" si="9">CS6-CO6</f>
        <v>7705</v>
      </c>
      <c r="CU6" s="113">
        <v>1329679</v>
      </c>
      <c r="CV6" s="114">
        <v>25154</v>
      </c>
      <c r="CW6" s="114">
        <f t="shared" ref="CW6" si="10">CU6+CV6</f>
        <v>1354833</v>
      </c>
      <c r="CX6" s="115">
        <f t="shared" ref="CX6:CX14" si="11">CW6-CS6</f>
        <v>841</v>
      </c>
      <c r="CY6" s="113">
        <v>1330930</v>
      </c>
      <c r="CZ6" s="114">
        <v>25154</v>
      </c>
      <c r="DA6" s="114">
        <f t="shared" ref="DA6" si="12">CY6+CZ6</f>
        <v>1356084</v>
      </c>
      <c r="DB6" s="115">
        <f t="shared" ref="DB6:DB11" si="13">DA6-CW6</f>
        <v>1251</v>
      </c>
      <c r="DC6" s="113">
        <v>1331159</v>
      </c>
      <c r="DD6" s="114">
        <v>25154</v>
      </c>
      <c r="DE6" s="114">
        <f t="shared" ref="DE6" si="14">DC6+DD6</f>
        <v>1356313</v>
      </c>
      <c r="DF6" s="115">
        <f t="shared" ref="DF6:DF11" si="15">DE6-DA6</f>
        <v>229</v>
      </c>
      <c r="DG6" s="252" t="s">
        <v>9</v>
      </c>
      <c r="DH6" s="239"/>
      <c r="DI6" s="239"/>
      <c r="DJ6" s="239"/>
      <c r="DK6" s="252" t="s">
        <v>7</v>
      </c>
      <c r="DL6" s="239"/>
      <c r="DM6" s="239"/>
      <c r="DN6" s="239"/>
      <c r="DO6" s="113">
        <v>1333170</v>
      </c>
      <c r="DP6" s="114">
        <v>25154</v>
      </c>
      <c r="DQ6" s="114">
        <f t="shared" ref="DQ6" si="16">DO6+DP6</f>
        <v>1358324</v>
      </c>
      <c r="DR6" s="115"/>
      <c r="DS6" s="113">
        <v>1333913</v>
      </c>
      <c r="DT6" s="114">
        <v>25154</v>
      </c>
      <c r="DU6" s="114">
        <f t="shared" ref="DU6" si="17">DS6+DT6</f>
        <v>1359067</v>
      </c>
      <c r="DV6" s="115">
        <f t="shared" ref="DV6:DV11" si="18">DU6-DQ6</f>
        <v>743</v>
      </c>
      <c r="DW6" s="113">
        <v>1334788</v>
      </c>
      <c r="DX6" s="114">
        <v>25154</v>
      </c>
      <c r="DY6" s="114">
        <f t="shared" ref="DY6" si="19">DW6+DX6</f>
        <v>1359942</v>
      </c>
      <c r="DZ6" s="115">
        <f>DY6-DU6</f>
        <v>875</v>
      </c>
      <c r="EA6" s="113">
        <v>1335166</v>
      </c>
      <c r="EB6" s="114">
        <v>25154</v>
      </c>
      <c r="EC6" s="114">
        <f t="shared" ref="EC6" si="20">EA6+EB6</f>
        <v>1360320</v>
      </c>
      <c r="ED6" s="115">
        <f>EC6-DY6</f>
        <v>378</v>
      </c>
      <c r="EE6" s="113">
        <v>1336238</v>
      </c>
      <c r="EF6" s="114">
        <v>25154</v>
      </c>
      <c r="EG6" s="114">
        <f t="shared" ref="EG6" si="21">EE6+EF6</f>
        <v>1361392</v>
      </c>
      <c r="EH6" s="115">
        <f>EG6-EC6</f>
        <v>1072</v>
      </c>
      <c r="EI6" s="113">
        <v>1337015</v>
      </c>
      <c r="EJ6" s="114">
        <v>25154</v>
      </c>
      <c r="EK6" s="114">
        <f t="shared" ref="EK6" si="22">EI6+EJ6</f>
        <v>1362169</v>
      </c>
      <c r="EL6" s="115">
        <f>EK6-EG6</f>
        <v>777</v>
      </c>
      <c r="EM6" s="270" t="s">
        <v>7</v>
      </c>
      <c r="EN6" s="270"/>
      <c r="EO6" s="113">
        <v>1337829</v>
      </c>
      <c r="EP6" s="114">
        <v>25154</v>
      </c>
      <c r="EQ6" s="114">
        <f t="shared" ref="EQ6" si="23">EO6+EP6</f>
        <v>1362983</v>
      </c>
      <c r="ER6" s="115">
        <f t="shared" ref="ER6:ER11" si="24">EQ6-EK6</f>
        <v>814</v>
      </c>
      <c r="ES6" s="113">
        <v>1338954</v>
      </c>
      <c r="ET6" s="114">
        <v>25154</v>
      </c>
      <c r="EU6" s="114">
        <f t="shared" ref="EU6" si="25">ES6+ET6</f>
        <v>1364108</v>
      </c>
      <c r="EV6" s="115">
        <f>EU6-EQ6</f>
        <v>1125</v>
      </c>
      <c r="EW6" s="260"/>
      <c r="EX6" s="260"/>
      <c r="EY6" s="260"/>
      <c r="EZ6" s="260"/>
      <c r="FA6" s="113">
        <v>1340297</v>
      </c>
      <c r="FB6" s="114">
        <v>25154</v>
      </c>
      <c r="FC6" s="114">
        <f t="shared" ref="FC6" si="26">FA6+FB6</f>
        <v>1365451</v>
      </c>
      <c r="FD6" s="115"/>
      <c r="FE6" s="113">
        <v>1341032</v>
      </c>
      <c r="FF6" s="114">
        <v>25154</v>
      </c>
      <c r="FG6" s="114">
        <f t="shared" ref="FG6" si="27">FE6+FF6</f>
        <v>1366186</v>
      </c>
      <c r="FH6" s="115">
        <f t="shared" ref="FH6:FH11" si="28">FG6-FC6</f>
        <v>735</v>
      </c>
      <c r="FI6" s="113">
        <v>1341764</v>
      </c>
      <c r="FJ6" s="114">
        <v>25154</v>
      </c>
      <c r="FK6" s="114">
        <f t="shared" ref="FK6" si="29">FI6+FJ6</f>
        <v>1366918</v>
      </c>
      <c r="FL6" s="115">
        <f t="shared" ref="FL6:FL11" si="30">FK6-FG6</f>
        <v>732</v>
      </c>
      <c r="FM6" s="259" t="s">
        <v>7</v>
      </c>
      <c r="FN6" s="259"/>
      <c r="FO6" s="259"/>
      <c r="FP6" s="259"/>
      <c r="FQ6" s="27"/>
      <c r="FR6" s="32"/>
      <c r="FS6" s="27"/>
      <c r="FT6" s="32"/>
      <c r="FU6" s="113">
        <v>1342924</v>
      </c>
      <c r="FV6" s="114">
        <v>25154</v>
      </c>
      <c r="FW6" s="114">
        <f t="shared" ref="FW6" si="31">FU6+FV6</f>
        <v>1368078</v>
      </c>
      <c r="FX6" s="115"/>
      <c r="FZ6" s="113"/>
      <c r="GA6" s="114"/>
      <c r="GB6" s="114"/>
      <c r="GC6" s="115"/>
      <c r="GD6" s="259" t="s">
        <v>9</v>
      </c>
      <c r="GE6" s="259"/>
      <c r="GF6" s="259"/>
      <c r="GG6" s="259"/>
      <c r="GH6" s="113">
        <v>1345330</v>
      </c>
      <c r="GI6" s="114">
        <v>25154</v>
      </c>
      <c r="GJ6" s="114">
        <f t="shared" ref="GJ6" si="32">GH6+GI6</f>
        <v>1370484</v>
      </c>
      <c r="GK6" s="115"/>
      <c r="GL6" s="113">
        <v>1346339</v>
      </c>
      <c r="GM6" s="114">
        <v>25154</v>
      </c>
      <c r="GN6" s="114">
        <f t="shared" ref="GN6" si="33">GL6+GM6</f>
        <v>1371493</v>
      </c>
      <c r="GO6" s="115">
        <f>GN6-GJ6</f>
        <v>1009</v>
      </c>
      <c r="GP6" s="259" t="s">
        <v>7</v>
      </c>
      <c r="GQ6" s="259"/>
      <c r="GR6" s="259"/>
      <c r="GS6" s="259"/>
      <c r="GT6" s="115">
        <v>1347227</v>
      </c>
      <c r="GU6" s="114">
        <v>25154</v>
      </c>
      <c r="GV6" s="114">
        <f t="shared" ref="GV6" si="34">GT6+GU6</f>
        <v>1372381</v>
      </c>
      <c r="GW6" s="115"/>
      <c r="GX6" s="115">
        <v>1348073</v>
      </c>
      <c r="GY6" s="114">
        <v>25154</v>
      </c>
      <c r="GZ6" s="114">
        <f t="shared" ref="GZ6:GZ11" si="35">GX6+GY6</f>
        <v>1373227</v>
      </c>
      <c r="HA6" s="115">
        <f>GZ6-GV6</f>
        <v>846</v>
      </c>
      <c r="HB6" s="115">
        <v>1350505</v>
      </c>
      <c r="HC6" s="114">
        <v>25154</v>
      </c>
      <c r="HD6" s="114">
        <f t="shared" ref="HD6:HD11" si="36">HB6+HC6</f>
        <v>1375659</v>
      </c>
      <c r="HE6" s="115">
        <f>HD6-GZ6</f>
        <v>2432</v>
      </c>
      <c r="HF6" s="115">
        <v>1351416</v>
      </c>
      <c r="HG6" s="114">
        <v>25154</v>
      </c>
      <c r="HH6" s="114">
        <f t="shared" ref="HH6:HH11" si="37">HF6+HG6</f>
        <v>1376570</v>
      </c>
      <c r="HI6" s="115">
        <f>HH6-HD6</f>
        <v>911</v>
      </c>
      <c r="HJ6" s="115">
        <v>1352464</v>
      </c>
      <c r="HK6" s="114">
        <v>25154</v>
      </c>
      <c r="HL6" s="114">
        <f t="shared" ref="HL6:HL11" si="38">HJ6+HK6</f>
        <v>1377618</v>
      </c>
      <c r="HM6" s="115">
        <f>HL6-HH6</f>
        <v>1048</v>
      </c>
      <c r="HN6" s="115">
        <v>1353246</v>
      </c>
      <c r="HO6" s="114">
        <v>25154</v>
      </c>
      <c r="HP6" s="114">
        <f t="shared" ref="HP6:HP11" si="39">HN6+HO6</f>
        <v>1378400</v>
      </c>
      <c r="HQ6" s="115">
        <f>HP6-HL6</f>
        <v>782</v>
      </c>
      <c r="HR6" s="252" t="s">
        <v>7</v>
      </c>
      <c r="HS6" s="239"/>
      <c r="HT6" s="239"/>
      <c r="HU6" s="253"/>
      <c r="HV6" s="115">
        <v>1354099</v>
      </c>
      <c r="HW6" s="114">
        <v>25154</v>
      </c>
      <c r="HX6" s="114">
        <f t="shared" ref="HX6:HX11" si="40">HV6+HW6</f>
        <v>1379253</v>
      </c>
      <c r="HY6" s="115"/>
      <c r="HZ6" s="115">
        <v>1354935</v>
      </c>
      <c r="IA6" s="114">
        <v>25154</v>
      </c>
      <c r="IB6" s="114">
        <f t="shared" ref="IB6:IB11" si="41">HZ6+IA6</f>
        <v>1380089</v>
      </c>
      <c r="IC6" s="115">
        <f>IB6-HX6</f>
        <v>836</v>
      </c>
      <c r="ID6" s="115">
        <v>1355709</v>
      </c>
      <c r="IE6" s="114">
        <v>25154</v>
      </c>
      <c r="IF6" s="114">
        <f t="shared" ref="IF6:IF11" si="42">ID6+IE6</f>
        <v>1380863</v>
      </c>
      <c r="IG6" s="115">
        <f>IF6-IB6</f>
        <v>774</v>
      </c>
      <c r="IH6" s="115">
        <v>1368270</v>
      </c>
      <c r="II6" s="114">
        <v>25154</v>
      </c>
      <c r="IJ6" s="114">
        <f t="shared" ref="IJ6:IJ11" si="43">IH6+II6</f>
        <v>1393424</v>
      </c>
      <c r="IK6" s="115">
        <f>IJ6-IF6</f>
        <v>12561</v>
      </c>
      <c r="IL6" s="115">
        <v>1368929</v>
      </c>
      <c r="IM6" s="114">
        <v>25154</v>
      </c>
      <c r="IN6" s="114">
        <f t="shared" ref="IN6:IN11" si="44">IL6+IM6</f>
        <v>1394083</v>
      </c>
      <c r="IO6" s="115">
        <f>IN6-IJ6</f>
        <v>659</v>
      </c>
      <c r="IP6" s="252" t="s">
        <v>9</v>
      </c>
      <c r="IQ6" s="239"/>
      <c r="IR6" s="239"/>
      <c r="IS6" s="253"/>
      <c r="IT6" s="252" t="s">
        <v>7</v>
      </c>
      <c r="IU6" s="239"/>
      <c r="IV6" s="239"/>
      <c r="IW6" s="253"/>
      <c r="IX6" s="115">
        <v>1370491</v>
      </c>
      <c r="IY6" s="114">
        <v>25154</v>
      </c>
      <c r="IZ6" s="114">
        <f t="shared" ref="IZ6:IZ11" si="45">IX6+IY6</f>
        <v>1395645</v>
      </c>
      <c r="JA6" s="115"/>
      <c r="JB6" s="115">
        <v>1371192</v>
      </c>
      <c r="JC6" s="114">
        <v>25154</v>
      </c>
      <c r="JD6" s="114">
        <f t="shared" ref="JD6:JD11" si="46">JB6+JC6</f>
        <v>1396346</v>
      </c>
      <c r="JE6" s="115">
        <f>JD6-IZ6</f>
        <v>701</v>
      </c>
      <c r="JF6" s="115">
        <v>1371902</v>
      </c>
      <c r="JG6" s="114">
        <v>25154</v>
      </c>
      <c r="JH6" s="114">
        <f t="shared" ref="JH6:JH11" si="47">JF6+JG6</f>
        <v>1397056</v>
      </c>
      <c r="JI6" s="115">
        <f>JH6-JD6</f>
        <v>710</v>
      </c>
      <c r="JJ6" s="115">
        <v>1372317</v>
      </c>
      <c r="JK6" s="114">
        <v>25154</v>
      </c>
      <c r="JL6" s="114">
        <f t="shared" ref="JL6:JL11" si="48">JJ6+JK6</f>
        <v>1397471</v>
      </c>
      <c r="JM6" s="115">
        <f>JL6-JH6</f>
        <v>415</v>
      </c>
      <c r="JN6" s="115">
        <v>1372650</v>
      </c>
      <c r="JO6" s="114">
        <v>25154</v>
      </c>
      <c r="JP6" s="114">
        <f t="shared" ref="JP6:JP11" si="49">JN6+JO6</f>
        <v>1397804</v>
      </c>
      <c r="JQ6" s="115">
        <f>JP6-JL6</f>
        <v>333</v>
      </c>
      <c r="JR6" s="115"/>
      <c r="JS6" s="114">
        <f>KA6/1024</f>
        <v>165.2587890625</v>
      </c>
      <c r="JT6" s="114"/>
      <c r="JU6" s="115"/>
      <c r="JV6" s="252" t="s">
        <v>7</v>
      </c>
      <c r="JW6" s="239"/>
      <c r="JX6" s="239"/>
      <c r="JY6" s="253"/>
      <c r="JZ6" s="115">
        <v>1481307</v>
      </c>
      <c r="KA6" s="114">
        <v>169225</v>
      </c>
      <c r="KB6" s="114">
        <f t="shared" ref="KB6:KB11" si="50">JZ6+KA6</f>
        <v>1650532</v>
      </c>
      <c r="KC6" s="115">
        <f>KB6-JX6</f>
        <v>1650532</v>
      </c>
      <c r="KD6" s="115">
        <v>1481307</v>
      </c>
      <c r="KE6" s="114">
        <v>169225</v>
      </c>
      <c r="KF6" s="114">
        <f t="shared" ref="KF6:KF11" si="51">KD6+KE6</f>
        <v>1650532</v>
      </c>
      <c r="KG6" s="115">
        <f>KF6-KB6</f>
        <v>0</v>
      </c>
      <c r="KH6" s="115">
        <v>1481307</v>
      </c>
      <c r="KI6" s="114">
        <v>169225</v>
      </c>
      <c r="KJ6" s="114">
        <f t="shared" ref="KJ6:KJ11" si="52">KH6+KI6</f>
        <v>1650532</v>
      </c>
      <c r="KK6" s="115">
        <f>KJ6-KF6</f>
        <v>0</v>
      </c>
      <c r="KL6" s="115">
        <v>1481307</v>
      </c>
      <c r="KM6" s="114">
        <v>169225</v>
      </c>
      <c r="KN6" s="114">
        <f t="shared" ref="KN6:KN11" si="53">KL6+KM6</f>
        <v>1650532</v>
      </c>
      <c r="KO6" s="115">
        <f>KN6-KJ6</f>
        <v>0</v>
      </c>
      <c r="KP6" s="115">
        <v>1481307</v>
      </c>
      <c r="KQ6" s="114">
        <v>169225</v>
      </c>
      <c r="KR6" s="114">
        <f t="shared" ref="KR6:KR11" si="54">KP6+KQ6</f>
        <v>1650532</v>
      </c>
      <c r="KS6" s="115">
        <f>KR6-KN6</f>
        <v>0</v>
      </c>
      <c r="KU6" s="115">
        <v>1481307</v>
      </c>
      <c r="KV6" s="114">
        <v>169225</v>
      </c>
      <c r="KW6" s="114">
        <f t="shared" ref="KW6:KW11" si="55">KU6+KV6</f>
        <v>1650532</v>
      </c>
      <c r="KX6" s="115">
        <f>KW6-KS6</f>
        <v>1650532</v>
      </c>
      <c r="KY6" s="259" t="s">
        <v>7</v>
      </c>
      <c r="KZ6" s="259"/>
      <c r="LA6" s="259"/>
      <c r="LB6" s="259"/>
      <c r="LC6" s="259" t="s">
        <v>6</v>
      </c>
      <c r="LD6" s="259"/>
      <c r="LE6" s="259"/>
      <c r="LF6" s="259"/>
      <c r="LG6" s="115">
        <v>1481307</v>
      </c>
      <c r="LH6" s="114">
        <v>169225</v>
      </c>
      <c r="LI6" s="114">
        <f t="shared" ref="LI6:LI14" si="56">LG6+LH6</f>
        <v>1650532</v>
      </c>
      <c r="LJ6" s="115"/>
      <c r="LK6" s="115"/>
      <c r="LL6" s="114"/>
      <c r="LM6" s="114"/>
      <c r="LN6" s="115"/>
      <c r="LO6" s="259" t="s">
        <v>9</v>
      </c>
      <c r="LP6" s="259"/>
      <c r="LQ6" s="259"/>
      <c r="LR6" s="259"/>
      <c r="LS6" s="259" t="s">
        <v>9</v>
      </c>
      <c r="LT6" s="259"/>
      <c r="LU6" s="259"/>
      <c r="LV6" s="259"/>
      <c r="LW6" s="115">
        <v>1481307</v>
      </c>
      <c r="LX6" s="114">
        <v>169225</v>
      </c>
      <c r="LY6" s="114">
        <f t="shared" ref="LY6" si="57">LW6+LX6</f>
        <v>1650532</v>
      </c>
      <c r="LZ6" s="115"/>
      <c r="MA6" s="259" t="s">
        <v>9</v>
      </c>
      <c r="MB6" s="259"/>
      <c r="MC6" s="259"/>
      <c r="MD6" s="259"/>
      <c r="ME6" s="115">
        <v>1481307</v>
      </c>
      <c r="MF6" s="114">
        <v>169225</v>
      </c>
      <c r="MG6" s="114">
        <f t="shared" ref="MG6" si="58">ME6+MF6</f>
        <v>1650532</v>
      </c>
      <c r="MH6" s="115"/>
      <c r="MI6" s="115">
        <v>1481307</v>
      </c>
      <c r="MJ6" s="114">
        <v>169225</v>
      </c>
      <c r="MK6" s="114">
        <f t="shared" ref="MK6" si="59">MI6+MJ6</f>
        <v>1650532</v>
      </c>
      <c r="ML6" s="115">
        <f>MK6-MG6</f>
        <v>0</v>
      </c>
      <c r="MM6" s="115">
        <v>1481307</v>
      </c>
      <c r="MN6" s="114">
        <v>169225</v>
      </c>
      <c r="MO6" s="114">
        <f t="shared" ref="MO6" si="60">MM6+MN6</f>
        <v>1650532</v>
      </c>
      <c r="MP6" s="115">
        <f>MO6-MK6</f>
        <v>0</v>
      </c>
      <c r="MQ6" s="115">
        <v>1481307</v>
      </c>
      <c r="MR6" s="114">
        <v>169225</v>
      </c>
      <c r="MS6" s="114">
        <f t="shared" ref="MS6" si="61">MQ6+MR6</f>
        <v>1650532</v>
      </c>
      <c r="MT6" s="115">
        <f>MS6-MO6</f>
        <v>0</v>
      </c>
      <c r="MU6" s="115">
        <v>1481307</v>
      </c>
      <c r="MV6" s="114">
        <v>169225</v>
      </c>
      <c r="MW6" s="114">
        <f t="shared" ref="MW6" si="62">MU6+MV6</f>
        <v>1650532</v>
      </c>
      <c r="MX6" s="115">
        <f>MW6-MS6</f>
        <v>0</v>
      </c>
      <c r="MY6" s="259" t="s">
        <v>9</v>
      </c>
      <c r="MZ6" s="259"/>
      <c r="NA6" s="259"/>
      <c r="NB6" s="259"/>
      <c r="NC6" s="259" t="s">
        <v>9</v>
      </c>
      <c r="ND6" s="259"/>
      <c r="NE6" s="259"/>
      <c r="NF6" s="259"/>
      <c r="NG6" s="115">
        <v>1481307</v>
      </c>
      <c r="NH6" s="114">
        <v>169225</v>
      </c>
      <c r="NI6" s="114"/>
      <c r="NJ6" s="115"/>
      <c r="NK6" s="115">
        <v>1481307</v>
      </c>
      <c r="NL6" s="114">
        <v>169225</v>
      </c>
      <c r="NM6" s="114"/>
      <c r="NN6" s="115"/>
      <c r="NO6" s="115">
        <v>1481307</v>
      </c>
      <c r="NP6" s="114">
        <v>169225</v>
      </c>
      <c r="NQ6" s="114">
        <f>NO6+NP6</f>
        <v>1650532</v>
      </c>
      <c r="NR6" s="115"/>
      <c r="NS6" s="115">
        <v>1481307</v>
      </c>
      <c r="NT6" s="114">
        <v>169225</v>
      </c>
      <c r="NU6" s="114">
        <f>NS6+NT6</f>
        <v>1650532</v>
      </c>
      <c r="NV6" s="115"/>
      <c r="NW6" s="259" t="s">
        <v>9</v>
      </c>
      <c r="NX6" s="259"/>
      <c r="NY6" s="259"/>
      <c r="NZ6" s="259"/>
      <c r="OA6" s="115">
        <v>1481307</v>
      </c>
      <c r="OB6" s="114">
        <v>169225</v>
      </c>
      <c r="OC6" s="114">
        <f>OA6+OB6</f>
        <v>1650532</v>
      </c>
      <c r="OD6" s="115"/>
      <c r="OE6" s="259" t="s">
        <v>7</v>
      </c>
      <c r="OF6" s="259"/>
      <c r="OG6" s="259"/>
      <c r="OH6" s="259"/>
      <c r="OI6" s="115">
        <v>1481307</v>
      </c>
      <c r="OJ6" s="114">
        <v>169225</v>
      </c>
      <c r="OK6" s="114">
        <v>1650532</v>
      </c>
      <c r="OL6" s="115"/>
      <c r="OM6" s="115">
        <v>1481307</v>
      </c>
      <c r="ON6" s="114">
        <v>169225</v>
      </c>
      <c r="OO6" s="114">
        <v>1650532</v>
      </c>
      <c r="OP6" s="115"/>
      <c r="OQ6" s="115">
        <v>1481307</v>
      </c>
      <c r="OR6" s="114">
        <v>169225</v>
      </c>
      <c r="OS6" s="114">
        <v>1650532</v>
      </c>
      <c r="OT6" s="115"/>
      <c r="OU6" s="115">
        <v>1526450</v>
      </c>
      <c r="OV6" s="114">
        <v>299794</v>
      </c>
      <c r="OW6" s="114">
        <v>1826244</v>
      </c>
      <c r="OX6" s="115"/>
      <c r="OY6" s="115">
        <v>1526450</v>
      </c>
      <c r="OZ6" s="114">
        <v>299794</v>
      </c>
      <c r="PA6" s="114">
        <v>1826244</v>
      </c>
      <c r="PB6" s="115"/>
      <c r="PC6" s="115">
        <v>1526450</v>
      </c>
      <c r="PD6" s="114">
        <v>299794</v>
      </c>
      <c r="PE6" s="114">
        <v>1826244</v>
      </c>
      <c r="PF6" s="115"/>
      <c r="PG6" s="115"/>
      <c r="PH6" s="114"/>
      <c r="PI6" s="114"/>
      <c r="PJ6" s="115"/>
      <c r="PK6" s="115">
        <v>1526450</v>
      </c>
      <c r="PL6" s="114">
        <v>299794</v>
      </c>
      <c r="PM6" s="114">
        <v>1826244</v>
      </c>
      <c r="PN6" s="115"/>
      <c r="PP6" s="115">
        <v>1526450</v>
      </c>
      <c r="PQ6" s="114">
        <v>299794</v>
      </c>
      <c r="PR6" s="114">
        <v>1826244</v>
      </c>
      <c r="PS6" s="115"/>
      <c r="PT6" s="115">
        <v>1526450</v>
      </c>
      <c r="PU6" s="114">
        <v>299794</v>
      </c>
      <c r="PV6" s="114">
        <v>1826244</v>
      </c>
      <c r="PW6" s="115"/>
      <c r="PX6" s="115">
        <v>1526450</v>
      </c>
      <c r="PY6" s="114">
        <v>299794</v>
      </c>
      <c r="PZ6" s="114">
        <v>1826244</v>
      </c>
      <c r="QA6" s="115"/>
      <c r="QB6" s="115">
        <v>1526450</v>
      </c>
      <c r="QC6" s="114">
        <v>299794</v>
      </c>
      <c r="QD6" s="114">
        <v>1826244</v>
      </c>
      <c r="QE6" s="115"/>
      <c r="QF6" s="115">
        <v>1526450</v>
      </c>
      <c r="QG6" s="114">
        <v>299794</v>
      </c>
      <c r="QH6" s="114">
        <v>1826244</v>
      </c>
      <c r="QI6" s="115"/>
      <c r="QJ6" s="289" t="s">
        <v>7</v>
      </c>
      <c r="QK6" s="289"/>
      <c r="QL6" s="289"/>
      <c r="QM6" s="289"/>
      <c r="QN6" s="115">
        <v>1526450</v>
      </c>
      <c r="QO6" s="114">
        <v>299794</v>
      </c>
      <c r="QP6" s="114">
        <v>1826244</v>
      </c>
      <c r="QQ6" s="115"/>
      <c r="QR6" s="115">
        <v>1526450</v>
      </c>
      <c r="QS6" s="114">
        <v>299794</v>
      </c>
      <c r="QT6" s="114">
        <v>1826244</v>
      </c>
      <c r="QU6" s="115"/>
      <c r="QV6" s="115">
        <v>1526450</v>
      </c>
      <c r="QW6" s="114">
        <v>299794</v>
      </c>
      <c r="QX6" s="114">
        <v>1826244</v>
      </c>
      <c r="QY6" s="115"/>
      <c r="QZ6" s="115">
        <v>1526450</v>
      </c>
      <c r="RA6" s="114">
        <v>299794</v>
      </c>
      <c r="RB6" s="114">
        <v>1826244</v>
      </c>
      <c r="RC6" s="115"/>
      <c r="RD6" s="115">
        <v>1526450</v>
      </c>
      <c r="RE6" s="114">
        <v>299794</v>
      </c>
      <c r="RF6" s="114">
        <v>1826244</v>
      </c>
      <c r="RG6" s="115"/>
      <c r="RH6" s="115">
        <v>1526450</v>
      </c>
      <c r="RI6" s="114">
        <v>299794</v>
      </c>
      <c r="RJ6" s="114">
        <v>1826244</v>
      </c>
      <c r="RK6" s="115"/>
      <c r="RL6" s="239" t="s">
        <v>7</v>
      </c>
      <c r="RM6" s="239"/>
      <c r="RN6" s="239"/>
      <c r="RO6" s="239"/>
      <c r="RP6" s="115">
        <v>1526450</v>
      </c>
      <c r="RQ6" s="114">
        <v>299794</v>
      </c>
      <c r="RR6" s="114">
        <v>1826244</v>
      </c>
      <c r="RS6" s="115"/>
      <c r="RT6" s="115">
        <v>1526450</v>
      </c>
      <c r="RU6" s="114">
        <v>299794</v>
      </c>
      <c r="RV6" s="114">
        <v>1826244</v>
      </c>
      <c r="RW6" s="115"/>
      <c r="RX6" s="115">
        <v>1526450</v>
      </c>
      <c r="RY6" s="114">
        <v>299794</v>
      </c>
      <c r="RZ6" s="114">
        <v>1826244</v>
      </c>
      <c r="SA6" s="115"/>
    </row>
    <row r="7" spans="1:495" x14ac:dyDescent="0.3">
      <c r="A7" s="291">
        <v>2</v>
      </c>
      <c r="B7" s="25" t="s">
        <v>10</v>
      </c>
      <c r="C7" s="26" t="s">
        <v>47</v>
      </c>
      <c r="D7" s="283"/>
      <c r="E7" s="14">
        <v>1096565</v>
      </c>
      <c r="F7" s="192"/>
      <c r="G7" s="35">
        <v>1098249</v>
      </c>
      <c r="H7" s="45">
        <v>1102206</v>
      </c>
      <c r="I7" s="44">
        <f t="shared" si="0"/>
        <v>3957</v>
      </c>
      <c r="J7" s="43">
        <v>1095892</v>
      </c>
      <c r="K7" s="44">
        <f>J7-H7</f>
        <v>-6314</v>
      </c>
      <c r="L7" s="43">
        <v>1105648</v>
      </c>
      <c r="M7" s="44">
        <f>L7-J7</f>
        <v>9756</v>
      </c>
      <c r="N7" s="43">
        <f>1094790+15897</f>
        <v>1110687</v>
      </c>
      <c r="O7" s="44">
        <f>N7-L7</f>
        <v>5039</v>
      </c>
      <c r="P7" s="43">
        <f>1094790+6128</f>
        <v>1100918</v>
      </c>
      <c r="Q7" s="44">
        <f>P7-N7</f>
        <v>-9769</v>
      </c>
      <c r="R7" s="232"/>
      <c r="S7" s="233"/>
      <c r="T7" s="43">
        <f>1094790+9870</f>
        <v>1104660</v>
      </c>
      <c r="U7" s="35">
        <f>T7-P7</f>
        <v>3742</v>
      </c>
      <c r="V7" s="43">
        <f>1094790+17487</f>
        <v>1112277</v>
      </c>
      <c r="W7" s="44">
        <f>V7-T7</f>
        <v>7617</v>
      </c>
      <c r="X7" s="38">
        <f>1094790+8157</f>
        <v>1102947</v>
      </c>
      <c r="Y7" s="13">
        <f>X7-V7</f>
        <v>-9330</v>
      </c>
      <c r="Z7" s="13">
        <f>1094790+5065</f>
        <v>1099855</v>
      </c>
      <c r="AA7" s="35">
        <f>Z7-X7</f>
        <v>-3092</v>
      </c>
      <c r="AB7" s="43">
        <f>1094790+14452</f>
        <v>1109242</v>
      </c>
      <c r="AC7" s="44">
        <f>AB7-Z7</f>
        <v>9387</v>
      </c>
      <c r="AD7" s="38">
        <f>1094790+5571</f>
        <v>1100361</v>
      </c>
      <c r="AE7" s="13">
        <f>AD7-AB7</f>
        <v>-8881</v>
      </c>
      <c r="AF7" s="232"/>
      <c r="AG7" s="233"/>
      <c r="AH7" s="14">
        <f>1094790+69</f>
        <v>1094859</v>
      </c>
      <c r="AI7" s="13">
        <f>AH7-AD7</f>
        <v>-5502</v>
      </c>
      <c r="AJ7" s="14">
        <f>1094790+4186</f>
        <v>1098976</v>
      </c>
      <c r="AK7" s="13">
        <f>AJ7-AH7</f>
        <v>4117</v>
      </c>
      <c r="AL7" s="232"/>
      <c r="AM7" s="233"/>
      <c r="AN7" s="232"/>
      <c r="AO7" s="233"/>
      <c r="AP7" s="14">
        <f>1094790+14452</f>
        <v>1109242</v>
      </c>
      <c r="AQ7" s="13"/>
      <c r="AR7" s="13">
        <f>1094790+6128</f>
        <v>1100918</v>
      </c>
      <c r="AS7" s="13">
        <f>AR7-AP7</f>
        <v>-8324</v>
      </c>
      <c r="AT7" s="285"/>
      <c r="AU7" s="285"/>
      <c r="AV7" s="14">
        <f>1094790+4186</f>
        <v>1098976</v>
      </c>
      <c r="AW7" s="13">
        <f>AV7-AR7</f>
        <v>-1942</v>
      </c>
      <c r="AX7" s="14">
        <f>1094790+3459</f>
        <v>1098249</v>
      </c>
      <c r="AY7" s="13">
        <f>AX7-AV7</f>
        <v>-727</v>
      </c>
      <c r="AZ7" s="14">
        <f>1094790+2362</f>
        <v>1097152</v>
      </c>
      <c r="BA7" s="13">
        <f>AZ7-AX7</f>
        <v>-1097</v>
      </c>
      <c r="BB7" s="14">
        <f>1094790+3805</f>
        <v>1098595</v>
      </c>
      <c r="BC7" s="13">
        <f>BB7-AZ7</f>
        <v>1443</v>
      </c>
      <c r="BD7" s="14">
        <f>1094790+3459</f>
        <v>1098249</v>
      </c>
      <c r="BE7" s="13">
        <f>BD7-BB7</f>
        <v>-346</v>
      </c>
      <c r="BF7" s="14">
        <f>1094790+9870</f>
        <v>1104660</v>
      </c>
      <c r="BG7" s="13">
        <f>BF7-BD7</f>
        <v>6411</v>
      </c>
      <c r="BH7" s="269"/>
      <c r="BI7" s="269"/>
      <c r="BJ7" s="18"/>
      <c r="BK7" s="118">
        <v>1094790</v>
      </c>
      <c r="BL7" s="119">
        <v>3145</v>
      </c>
      <c r="BM7" s="119">
        <f>BK7+BL7</f>
        <v>1097935</v>
      </c>
      <c r="BN7" s="120"/>
      <c r="BO7" s="118">
        <v>1094790</v>
      </c>
      <c r="BP7" s="119">
        <v>3459</v>
      </c>
      <c r="BQ7" s="119">
        <f>BO7+BP7</f>
        <v>1098249</v>
      </c>
      <c r="BR7" s="120">
        <f>BQ7-BM7</f>
        <v>314</v>
      </c>
      <c r="BS7" s="118">
        <v>1094790</v>
      </c>
      <c r="BT7" s="119">
        <v>8973</v>
      </c>
      <c r="BU7" s="119">
        <f>BS7+BT7</f>
        <v>1103763</v>
      </c>
      <c r="BV7" s="120">
        <f>BU7-BQ7</f>
        <v>5514</v>
      </c>
      <c r="BW7" s="118">
        <v>1094790</v>
      </c>
      <c r="BX7" s="119">
        <v>6741</v>
      </c>
      <c r="BY7" s="119">
        <f t="shared" si="1"/>
        <v>1101531</v>
      </c>
      <c r="BZ7" s="120">
        <f>BY7-BU7</f>
        <v>-2232</v>
      </c>
      <c r="CA7" s="118">
        <v>1094790</v>
      </c>
      <c r="CB7" s="119">
        <v>3805</v>
      </c>
      <c r="CC7" s="119">
        <f t="shared" si="2"/>
        <v>1098595</v>
      </c>
      <c r="CD7" s="120">
        <f t="shared" si="3"/>
        <v>-2936</v>
      </c>
      <c r="CE7" s="118">
        <v>1094790</v>
      </c>
      <c r="CF7" s="119">
        <v>6128</v>
      </c>
      <c r="CG7" s="119">
        <f t="shared" si="4"/>
        <v>1100918</v>
      </c>
      <c r="CH7" s="120">
        <f t="shared" si="5"/>
        <v>2323</v>
      </c>
      <c r="CI7" s="254"/>
      <c r="CJ7" s="240"/>
      <c r="CK7" s="240"/>
      <c r="CL7" s="255"/>
      <c r="CM7" s="118">
        <v>1094790</v>
      </c>
      <c r="CN7" s="119">
        <v>1333</v>
      </c>
      <c r="CO7" s="119">
        <f>CM7+CN7</f>
        <v>1096123</v>
      </c>
      <c r="CP7" s="121">
        <f t="shared" si="7"/>
        <v>-4795</v>
      </c>
      <c r="CQ7" s="118">
        <v>1094790</v>
      </c>
      <c r="CR7" s="119">
        <v>1467</v>
      </c>
      <c r="CS7" s="119">
        <f>CQ7+CR7</f>
        <v>1096257</v>
      </c>
      <c r="CT7" s="121">
        <f t="shared" si="9"/>
        <v>134</v>
      </c>
      <c r="CU7" s="118">
        <v>1094790</v>
      </c>
      <c r="CV7" s="119">
        <v>1613</v>
      </c>
      <c r="CW7" s="119">
        <f>CU7+CV7</f>
        <v>1096403</v>
      </c>
      <c r="CX7" s="121">
        <f t="shared" si="11"/>
        <v>146</v>
      </c>
      <c r="CY7" s="118">
        <v>1094790</v>
      </c>
      <c r="CZ7" s="119">
        <v>3805</v>
      </c>
      <c r="DA7" s="119">
        <f>CY7+CZ7</f>
        <v>1098595</v>
      </c>
      <c r="DB7" s="121">
        <f t="shared" si="13"/>
        <v>2192</v>
      </c>
      <c r="DC7" s="118">
        <v>1094790</v>
      </c>
      <c r="DD7" s="119">
        <v>1467</v>
      </c>
      <c r="DE7" s="119">
        <f>DC7+DD7</f>
        <v>1096257</v>
      </c>
      <c r="DF7" s="121">
        <f t="shared" si="15"/>
        <v>-2338</v>
      </c>
      <c r="DG7" s="254"/>
      <c r="DH7" s="240"/>
      <c r="DI7" s="240"/>
      <c r="DJ7" s="240"/>
      <c r="DK7" s="254"/>
      <c r="DL7" s="240"/>
      <c r="DM7" s="240"/>
      <c r="DN7" s="240"/>
      <c r="DO7" s="118">
        <v>1094790</v>
      </c>
      <c r="DP7" s="119">
        <v>4186</v>
      </c>
      <c r="DQ7" s="119">
        <f>DO7+DP7</f>
        <v>1098976</v>
      </c>
      <c r="DR7" s="120"/>
      <c r="DS7" s="118">
        <v>1094790</v>
      </c>
      <c r="DT7" s="119">
        <v>3459</v>
      </c>
      <c r="DU7" s="119">
        <f>DS7+DT7</f>
        <v>1098249</v>
      </c>
      <c r="DV7" s="120">
        <f t="shared" si="18"/>
        <v>-727</v>
      </c>
      <c r="DW7" s="118">
        <v>1094790</v>
      </c>
      <c r="DX7" s="119">
        <v>5065</v>
      </c>
      <c r="DY7" s="119">
        <f>DW7+DX7</f>
        <v>1099855</v>
      </c>
      <c r="DZ7" s="120">
        <f t="shared" ref="DZ7:DZ11" si="63">DY7-DU7</f>
        <v>1606</v>
      </c>
      <c r="EA7" s="118">
        <v>1094790</v>
      </c>
      <c r="EB7" s="119">
        <v>2362</v>
      </c>
      <c r="EC7" s="119">
        <f>EA7+EB7</f>
        <v>1097152</v>
      </c>
      <c r="ED7" s="120">
        <f t="shared" ref="ED7:ED11" si="64">EC7-DY7</f>
        <v>-2703</v>
      </c>
      <c r="EE7" s="118">
        <v>1094790</v>
      </c>
      <c r="EF7" s="119">
        <v>3805</v>
      </c>
      <c r="EG7" s="119">
        <f>EE7+EF7</f>
        <v>1098595</v>
      </c>
      <c r="EH7" s="120">
        <f t="shared" ref="EH7:EH11" si="65">EG7-EC7</f>
        <v>1443</v>
      </c>
      <c r="EI7" s="118">
        <v>1094790</v>
      </c>
      <c r="EJ7" s="119">
        <v>4604</v>
      </c>
      <c r="EK7" s="119">
        <f>EI7+EJ7</f>
        <v>1099394</v>
      </c>
      <c r="EL7" s="120">
        <f t="shared" ref="EL7:EL11" si="66">EK7-EG7</f>
        <v>799</v>
      </c>
      <c r="EM7" s="271"/>
      <c r="EN7" s="271"/>
      <c r="EO7" s="118">
        <v>1094790</v>
      </c>
      <c r="EP7" s="119">
        <v>4186</v>
      </c>
      <c r="EQ7" s="119">
        <f>EO7+EP7</f>
        <v>1098976</v>
      </c>
      <c r="ER7" s="121">
        <f t="shared" si="24"/>
        <v>-418</v>
      </c>
      <c r="ES7" s="118">
        <v>1094790</v>
      </c>
      <c r="ET7" s="119">
        <v>1467</v>
      </c>
      <c r="EU7" s="119">
        <f>ES7+ET7</f>
        <v>1096257</v>
      </c>
      <c r="EV7" s="121">
        <f t="shared" ref="EV7:EV11" si="67">EU7-EO7</f>
        <v>1467</v>
      </c>
      <c r="EW7" s="260"/>
      <c r="EX7" s="260"/>
      <c r="EY7" s="260"/>
      <c r="EZ7" s="260"/>
      <c r="FA7" s="118">
        <v>1094790</v>
      </c>
      <c r="FB7" s="119">
        <v>4604</v>
      </c>
      <c r="FC7" s="119">
        <f>FA7+FB7</f>
        <v>1099394</v>
      </c>
      <c r="FD7" s="121"/>
      <c r="FE7" s="118">
        <v>1094790</v>
      </c>
      <c r="FF7" s="119">
        <v>4186</v>
      </c>
      <c r="FG7" s="119">
        <f>FE7+FF7</f>
        <v>1098976</v>
      </c>
      <c r="FH7" s="13">
        <f t="shared" si="28"/>
        <v>-418</v>
      </c>
      <c r="FI7" s="118">
        <v>1094790</v>
      </c>
      <c r="FJ7" s="119">
        <v>4604</v>
      </c>
      <c r="FK7" s="119">
        <f>FI7+FJ7</f>
        <v>1099394</v>
      </c>
      <c r="FL7" s="13">
        <f t="shared" si="30"/>
        <v>418</v>
      </c>
      <c r="FM7" s="260"/>
      <c r="FN7" s="260"/>
      <c r="FO7" s="260"/>
      <c r="FP7" s="260"/>
      <c r="FQ7" s="14"/>
      <c r="FR7" s="13"/>
      <c r="FS7" s="14"/>
      <c r="FT7" s="13"/>
      <c r="FU7" s="118">
        <v>1094790</v>
      </c>
      <c r="FV7" s="119">
        <v>4186</v>
      </c>
      <c r="FW7" s="119">
        <f>FU7+FV7</f>
        <v>1098976</v>
      </c>
      <c r="FX7" s="13"/>
      <c r="FZ7" s="118"/>
      <c r="GA7" s="119"/>
      <c r="GB7" s="119"/>
      <c r="GC7" s="120"/>
      <c r="GD7" s="260"/>
      <c r="GE7" s="260"/>
      <c r="GF7" s="260"/>
      <c r="GG7" s="260"/>
      <c r="GH7" s="118">
        <v>1094790</v>
      </c>
      <c r="GI7" s="119">
        <v>4186</v>
      </c>
      <c r="GJ7" s="119">
        <f>GH7+GI7</f>
        <v>1098976</v>
      </c>
      <c r="GK7" s="120"/>
      <c r="GL7" s="118">
        <v>1094790</v>
      </c>
      <c r="GM7" s="119">
        <v>4604</v>
      </c>
      <c r="GN7" s="119">
        <f>GL7+GM7</f>
        <v>1099394</v>
      </c>
      <c r="GO7" s="120">
        <f>GN7-GJ7</f>
        <v>418</v>
      </c>
      <c r="GP7" s="260"/>
      <c r="GQ7" s="260"/>
      <c r="GR7" s="260"/>
      <c r="GS7" s="260"/>
      <c r="GT7" s="115">
        <v>1094790</v>
      </c>
      <c r="GU7" s="114">
        <v>6741</v>
      </c>
      <c r="GV7" s="114">
        <f t="shared" ref="GV7" si="68">GT7+GU7</f>
        <v>1101531</v>
      </c>
      <c r="GW7" s="115"/>
      <c r="GX7" s="115">
        <v>1094790</v>
      </c>
      <c r="GY7" s="114">
        <v>7416</v>
      </c>
      <c r="GZ7" s="114">
        <f t="shared" si="35"/>
        <v>1102206</v>
      </c>
      <c r="HA7" s="115">
        <f t="shared" ref="HA7:HA10" si="69">GZ7-GV7</f>
        <v>675</v>
      </c>
      <c r="HB7" s="115">
        <v>1094790</v>
      </c>
      <c r="HC7" s="114">
        <v>10858</v>
      </c>
      <c r="HD7" s="114">
        <f t="shared" si="36"/>
        <v>1105648</v>
      </c>
      <c r="HE7" s="115">
        <f t="shared" ref="HE7:HE10" si="70">HD7-GZ7</f>
        <v>3442</v>
      </c>
      <c r="HF7" s="115">
        <v>1094790</v>
      </c>
      <c r="HG7" s="114">
        <v>11943</v>
      </c>
      <c r="HH7" s="114">
        <f t="shared" si="37"/>
        <v>1106733</v>
      </c>
      <c r="HI7" s="115">
        <f t="shared" ref="HI7:HI10" si="71">HH7-HD7</f>
        <v>1085</v>
      </c>
      <c r="HJ7" s="115">
        <v>1094790</v>
      </c>
      <c r="HK7" s="114">
        <v>11943</v>
      </c>
      <c r="HL7" s="114">
        <f t="shared" si="38"/>
        <v>1106733</v>
      </c>
      <c r="HM7" s="115">
        <f t="shared" ref="HM7:HM10" si="72">HL7-HH7</f>
        <v>0</v>
      </c>
      <c r="HN7" s="115">
        <v>1094790</v>
      </c>
      <c r="HO7" s="114">
        <v>11943</v>
      </c>
      <c r="HP7" s="114">
        <f t="shared" si="39"/>
        <v>1106733</v>
      </c>
      <c r="HQ7" s="115">
        <f t="shared" ref="HQ7:HQ10" si="73">HP7-HL7</f>
        <v>0</v>
      </c>
      <c r="HR7" s="254"/>
      <c r="HS7" s="240"/>
      <c r="HT7" s="240"/>
      <c r="HU7" s="255"/>
      <c r="HV7" s="115">
        <v>1094790</v>
      </c>
      <c r="HW7" s="114">
        <v>11943</v>
      </c>
      <c r="HX7" s="114">
        <f t="shared" si="40"/>
        <v>1106733</v>
      </c>
      <c r="HY7" s="115"/>
      <c r="HZ7" s="115">
        <v>1094790</v>
      </c>
      <c r="IA7" s="114">
        <v>11943</v>
      </c>
      <c r="IB7" s="114">
        <f t="shared" si="41"/>
        <v>1106733</v>
      </c>
      <c r="IC7" s="115">
        <f t="shared" ref="IC7:IC10" si="74">IB7-HX7</f>
        <v>0</v>
      </c>
      <c r="ID7" s="115">
        <v>1094790</v>
      </c>
      <c r="IE7" s="114">
        <v>23275</v>
      </c>
      <c r="IF7" s="114">
        <f t="shared" si="42"/>
        <v>1118065</v>
      </c>
      <c r="IG7" s="115">
        <f t="shared" ref="IG7:IG10" si="75">IF7-IB7</f>
        <v>11332</v>
      </c>
      <c r="IH7" s="115">
        <v>1094790</v>
      </c>
      <c r="II7" s="114">
        <v>23275</v>
      </c>
      <c r="IJ7" s="114">
        <f t="shared" si="43"/>
        <v>1118065</v>
      </c>
      <c r="IK7" s="115">
        <f t="shared" ref="IK7:IK10" si="76">IJ7-IF7</f>
        <v>0</v>
      </c>
      <c r="IL7" s="115">
        <v>1094790</v>
      </c>
      <c r="IM7" s="114">
        <v>23275</v>
      </c>
      <c r="IN7" s="114">
        <f t="shared" si="44"/>
        <v>1118065</v>
      </c>
      <c r="IO7" s="115">
        <f t="shared" ref="IO7:IO10" si="77">IN7-IJ7</f>
        <v>0</v>
      </c>
      <c r="IP7" s="254"/>
      <c r="IQ7" s="240"/>
      <c r="IR7" s="240"/>
      <c r="IS7" s="255"/>
      <c r="IT7" s="254"/>
      <c r="IU7" s="240"/>
      <c r="IV7" s="240"/>
      <c r="IW7" s="255"/>
      <c r="IX7" s="115">
        <v>1094790</v>
      </c>
      <c r="IY7" s="114">
        <v>23275</v>
      </c>
      <c r="IZ7" s="114">
        <f t="shared" si="45"/>
        <v>1118065</v>
      </c>
      <c r="JA7" s="115"/>
      <c r="JB7" s="115">
        <v>1094790</v>
      </c>
      <c r="JC7" s="114">
        <v>23275</v>
      </c>
      <c r="JD7" s="114">
        <f t="shared" si="46"/>
        <v>1118065</v>
      </c>
      <c r="JE7" s="115">
        <f t="shared" ref="JE7:JE10" si="78">JD7-IZ7</f>
        <v>0</v>
      </c>
      <c r="JF7" s="115">
        <v>1094790</v>
      </c>
      <c r="JG7" s="114">
        <v>23275</v>
      </c>
      <c r="JH7" s="114">
        <f t="shared" si="47"/>
        <v>1118065</v>
      </c>
      <c r="JI7" s="115">
        <f t="shared" ref="JI7:JI10" si="79">JH7-JD7</f>
        <v>0</v>
      </c>
      <c r="JJ7" s="115">
        <v>1094790</v>
      </c>
      <c r="JK7" s="114">
        <v>23275</v>
      </c>
      <c r="JL7" s="114">
        <f t="shared" si="48"/>
        <v>1118065</v>
      </c>
      <c r="JM7" s="115">
        <f t="shared" ref="JM7:JM10" si="80">JL7-JH7</f>
        <v>0</v>
      </c>
      <c r="JN7" s="115">
        <v>1094790</v>
      </c>
      <c r="JO7" s="114">
        <v>23275</v>
      </c>
      <c r="JP7" s="114">
        <f t="shared" si="49"/>
        <v>1118065</v>
      </c>
      <c r="JQ7" s="115">
        <f t="shared" ref="JQ7:JQ10" si="81">JP7-JL7</f>
        <v>0</v>
      </c>
      <c r="JR7" s="115"/>
      <c r="JS7" s="114"/>
      <c r="JT7" s="114"/>
      <c r="JU7" s="115"/>
      <c r="JV7" s="254"/>
      <c r="JW7" s="240"/>
      <c r="JX7" s="240"/>
      <c r="JY7" s="255"/>
      <c r="JZ7" s="115">
        <v>1144517</v>
      </c>
      <c r="KA7" s="114">
        <v>172244</v>
      </c>
      <c r="KB7" s="114">
        <f t="shared" si="50"/>
        <v>1316761</v>
      </c>
      <c r="KC7" s="115">
        <f t="shared" ref="KC7:KC10" si="82">KB7-JX7</f>
        <v>1316761</v>
      </c>
      <c r="KD7" s="115">
        <v>1144517</v>
      </c>
      <c r="KE7" s="114">
        <v>172244</v>
      </c>
      <c r="KF7" s="114">
        <f t="shared" si="51"/>
        <v>1316761</v>
      </c>
      <c r="KG7" s="115">
        <f t="shared" ref="KG7:KG10" si="83">KF7-KB7</f>
        <v>0</v>
      </c>
      <c r="KH7" s="115">
        <v>1144517</v>
      </c>
      <c r="KI7" s="114">
        <v>172244</v>
      </c>
      <c r="KJ7" s="114">
        <f t="shared" si="52"/>
        <v>1316761</v>
      </c>
      <c r="KK7" s="115">
        <f t="shared" ref="KK7:KK10" si="84">KJ7-KF7</f>
        <v>0</v>
      </c>
      <c r="KL7" s="115">
        <v>1144517</v>
      </c>
      <c r="KM7" s="114">
        <v>172244</v>
      </c>
      <c r="KN7" s="114">
        <f t="shared" si="53"/>
        <v>1316761</v>
      </c>
      <c r="KO7" s="115">
        <f t="shared" ref="KO7:KO10" si="85">KN7-KJ7</f>
        <v>0</v>
      </c>
      <c r="KP7" s="115">
        <v>1144517</v>
      </c>
      <c r="KQ7" s="114">
        <v>172244</v>
      </c>
      <c r="KR7" s="114">
        <f t="shared" si="54"/>
        <v>1316761</v>
      </c>
      <c r="KS7" s="115">
        <f t="shared" ref="KS7:KS10" si="86">KR7-KN7</f>
        <v>0</v>
      </c>
      <c r="KU7" s="115">
        <v>1144517</v>
      </c>
      <c r="KV7" s="114">
        <v>172244</v>
      </c>
      <c r="KW7" s="114">
        <f t="shared" si="55"/>
        <v>1316761</v>
      </c>
      <c r="KX7" s="115">
        <f t="shared" ref="KX7:KX10" si="87">KW7-KS7</f>
        <v>1316761</v>
      </c>
      <c r="KY7" s="260"/>
      <c r="KZ7" s="260"/>
      <c r="LA7" s="260"/>
      <c r="LB7" s="260"/>
      <c r="LC7" s="260"/>
      <c r="LD7" s="260"/>
      <c r="LE7" s="260"/>
      <c r="LF7" s="260"/>
      <c r="LG7" s="114">
        <v>1144517</v>
      </c>
      <c r="LH7" s="114">
        <v>172244</v>
      </c>
      <c r="LI7" s="114">
        <f>LG7+LH7</f>
        <v>1316761</v>
      </c>
      <c r="LJ7" s="114"/>
      <c r="LK7" s="114"/>
      <c r="LL7" s="114"/>
      <c r="LM7" s="114"/>
      <c r="LN7" s="114"/>
      <c r="LO7" s="260"/>
      <c r="LP7" s="260"/>
      <c r="LQ7" s="260"/>
      <c r="LR7" s="260"/>
      <c r="LS7" s="260"/>
      <c r="LT7" s="260"/>
      <c r="LU7" s="260"/>
      <c r="LV7" s="260"/>
      <c r="LW7" s="114">
        <v>1144517</v>
      </c>
      <c r="LX7" s="114">
        <v>172244</v>
      </c>
      <c r="LY7" s="114">
        <f>LW7+LX7</f>
        <v>1316761</v>
      </c>
      <c r="LZ7" s="114"/>
      <c r="MA7" s="260"/>
      <c r="MB7" s="260"/>
      <c r="MC7" s="260"/>
      <c r="MD7" s="260"/>
      <c r="ME7" s="114">
        <v>1144517</v>
      </c>
      <c r="MF7" s="114">
        <v>172244</v>
      </c>
      <c r="MG7" s="114">
        <f>ME7+MF7</f>
        <v>1316761</v>
      </c>
      <c r="MH7" s="115"/>
      <c r="MI7" s="114">
        <v>1144517</v>
      </c>
      <c r="MJ7" s="114">
        <v>172244</v>
      </c>
      <c r="MK7" s="114">
        <f>MI7+MJ7</f>
        <v>1316761</v>
      </c>
      <c r="ML7" s="115">
        <f t="shared" ref="ML7:ML10" si="88">MK7-MG7</f>
        <v>0</v>
      </c>
      <c r="MM7" s="114">
        <v>1144517</v>
      </c>
      <c r="MN7" s="114">
        <v>172244</v>
      </c>
      <c r="MO7" s="114">
        <f>MM7+MN7</f>
        <v>1316761</v>
      </c>
      <c r="MP7" s="115">
        <f t="shared" ref="MP7:MP10" si="89">MO7-MK7</f>
        <v>0</v>
      </c>
      <c r="MQ7" s="114">
        <v>1144517</v>
      </c>
      <c r="MR7" s="114">
        <v>172244</v>
      </c>
      <c r="MS7" s="114">
        <f>MQ7+MR7</f>
        <v>1316761</v>
      </c>
      <c r="MT7" s="115">
        <f t="shared" ref="MT7:MT10" si="90">MS7-MO7</f>
        <v>0</v>
      </c>
      <c r="MU7" s="114">
        <v>1144517</v>
      </c>
      <c r="MV7" s="114">
        <v>172244</v>
      </c>
      <c r="MW7" s="114">
        <f>MU7+MV7</f>
        <v>1316761</v>
      </c>
      <c r="MX7" s="115">
        <f t="shared" ref="MX7:MX10" si="91">MW7-MS7</f>
        <v>0</v>
      </c>
      <c r="MY7" s="260"/>
      <c r="MZ7" s="260"/>
      <c r="NA7" s="260"/>
      <c r="NB7" s="260"/>
      <c r="NC7" s="260"/>
      <c r="ND7" s="260"/>
      <c r="NE7" s="260"/>
      <c r="NF7" s="260"/>
      <c r="NG7" s="115">
        <v>1144517</v>
      </c>
      <c r="NH7" s="114">
        <v>172244</v>
      </c>
      <c r="NI7" s="114"/>
      <c r="NJ7" s="115"/>
      <c r="NK7" s="115">
        <v>1144517</v>
      </c>
      <c r="NL7" s="114">
        <v>172244</v>
      </c>
      <c r="NM7" s="114"/>
      <c r="NN7" s="115"/>
      <c r="NO7" s="115">
        <v>1144517</v>
      </c>
      <c r="NP7" s="114">
        <v>172244</v>
      </c>
      <c r="NQ7" s="114">
        <f t="shared" ref="NQ7:NQ27" si="92">NO7+NP7</f>
        <v>1316761</v>
      </c>
      <c r="NR7" s="115"/>
      <c r="NS7" s="115">
        <v>1144517</v>
      </c>
      <c r="NT7" s="114">
        <v>172244</v>
      </c>
      <c r="NU7" s="114">
        <f t="shared" ref="NU7:NU26" si="93">NS7+NT7</f>
        <v>1316761</v>
      </c>
      <c r="NV7" s="115"/>
      <c r="NW7" s="260"/>
      <c r="NX7" s="260"/>
      <c r="NY7" s="260"/>
      <c r="NZ7" s="260"/>
      <c r="OA7" s="115">
        <v>1144517</v>
      </c>
      <c r="OB7" s="114">
        <v>172244</v>
      </c>
      <c r="OC7" s="114">
        <f t="shared" ref="OC7:OC26" si="94">OA7+OB7</f>
        <v>1316761</v>
      </c>
      <c r="OD7" s="115"/>
      <c r="OE7" s="260"/>
      <c r="OF7" s="260"/>
      <c r="OG7" s="260"/>
      <c r="OH7" s="260"/>
      <c r="OI7" s="115">
        <v>1144517</v>
      </c>
      <c r="OJ7" s="114">
        <v>172244</v>
      </c>
      <c r="OK7" s="114">
        <v>1316761</v>
      </c>
      <c r="OL7" s="115"/>
      <c r="OM7" s="115">
        <v>1144517</v>
      </c>
      <c r="ON7" s="114">
        <v>172244</v>
      </c>
      <c r="OO7" s="114">
        <v>1316761</v>
      </c>
      <c r="OP7" s="115"/>
      <c r="OQ7" s="115">
        <v>1144517</v>
      </c>
      <c r="OR7" s="114">
        <v>172244</v>
      </c>
      <c r="OS7" s="114">
        <v>1316761</v>
      </c>
      <c r="OT7" s="115"/>
      <c r="OU7" s="115">
        <v>1155501</v>
      </c>
      <c r="OV7" s="114">
        <v>172244</v>
      </c>
      <c r="OW7" s="114">
        <v>1327745</v>
      </c>
      <c r="OX7" s="115"/>
      <c r="OY7" s="115">
        <v>1155501</v>
      </c>
      <c r="OZ7" s="114">
        <v>172244</v>
      </c>
      <c r="PA7" s="114">
        <v>1327745</v>
      </c>
      <c r="PB7" s="115"/>
      <c r="PC7" s="115">
        <v>1155501</v>
      </c>
      <c r="PD7" s="114">
        <v>172244</v>
      </c>
      <c r="PE7" s="114">
        <v>1327745</v>
      </c>
      <c r="PF7" s="115"/>
      <c r="PG7" s="115"/>
      <c r="PH7" s="114"/>
      <c r="PI7" s="114"/>
      <c r="PJ7" s="115"/>
      <c r="PK7" s="115">
        <v>1155501</v>
      </c>
      <c r="PL7" s="114">
        <v>172244</v>
      </c>
      <c r="PM7" s="114">
        <v>1327745</v>
      </c>
      <c r="PN7" s="115"/>
      <c r="PP7" s="115">
        <v>1155501</v>
      </c>
      <c r="PQ7" s="114">
        <v>172244</v>
      </c>
      <c r="PR7" s="114">
        <v>1327745</v>
      </c>
      <c r="PS7" s="115"/>
      <c r="PT7" s="115">
        <v>1155501</v>
      </c>
      <c r="PU7" s="114">
        <v>172244</v>
      </c>
      <c r="PV7" s="114">
        <v>1327745</v>
      </c>
      <c r="PW7" s="115"/>
      <c r="PX7" s="115">
        <v>1155501</v>
      </c>
      <c r="PY7" s="114">
        <v>172244</v>
      </c>
      <c r="PZ7" s="114">
        <v>1327745</v>
      </c>
      <c r="QA7" s="115"/>
      <c r="QB7" s="115">
        <v>1155501</v>
      </c>
      <c r="QC7" s="114">
        <v>172244</v>
      </c>
      <c r="QD7" s="114">
        <v>1327745</v>
      </c>
      <c r="QE7" s="115"/>
      <c r="QF7" s="115">
        <v>1155501</v>
      </c>
      <c r="QG7" s="114">
        <v>172244</v>
      </c>
      <c r="QH7" s="114">
        <v>1327745</v>
      </c>
      <c r="QI7" s="115"/>
      <c r="QJ7" s="290"/>
      <c r="QK7" s="290"/>
      <c r="QL7" s="290"/>
      <c r="QM7" s="290"/>
      <c r="QN7" s="115">
        <v>1155501</v>
      </c>
      <c r="QO7" s="114">
        <v>172244</v>
      </c>
      <c r="QP7" s="114">
        <v>1327745</v>
      </c>
      <c r="QQ7" s="115"/>
      <c r="QR7" s="115">
        <v>1155501</v>
      </c>
      <c r="QS7" s="114">
        <v>172244</v>
      </c>
      <c r="QT7" s="114">
        <v>1327745</v>
      </c>
      <c r="QU7" s="115"/>
      <c r="QV7" s="115">
        <v>1155501</v>
      </c>
      <c r="QW7" s="114">
        <v>172244</v>
      </c>
      <c r="QX7" s="114">
        <v>1327745</v>
      </c>
      <c r="QY7" s="115"/>
      <c r="QZ7" s="115">
        <v>1155501</v>
      </c>
      <c r="RA7" s="114">
        <v>172244</v>
      </c>
      <c r="RB7" s="114">
        <v>1327745</v>
      </c>
      <c r="RC7" s="115"/>
      <c r="RD7" s="115">
        <v>1155501</v>
      </c>
      <c r="RE7" s="114">
        <v>172244</v>
      </c>
      <c r="RF7" s="114">
        <v>1327745</v>
      </c>
      <c r="RG7" s="115"/>
      <c r="RH7" s="115">
        <v>1155501</v>
      </c>
      <c r="RI7" s="114">
        <v>172244</v>
      </c>
      <c r="RJ7" s="114">
        <v>1327745</v>
      </c>
      <c r="RK7" s="115"/>
      <c r="RL7" s="240"/>
      <c r="RM7" s="240"/>
      <c r="RN7" s="240"/>
      <c r="RO7" s="240"/>
      <c r="RP7" s="115">
        <v>1155501</v>
      </c>
      <c r="RQ7" s="114">
        <v>172244</v>
      </c>
      <c r="RR7" s="114">
        <v>1327745</v>
      </c>
      <c r="RS7" s="115"/>
      <c r="RT7" s="115">
        <v>1155501</v>
      </c>
      <c r="RU7" s="114">
        <v>172244</v>
      </c>
      <c r="RV7" s="114">
        <v>1327745</v>
      </c>
      <c r="RW7" s="115"/>
      <c r="RX7" s="115">
        <v>1155501</v>
      </c>
      <c r="RY7" s="114">
        <v>172244</v>
      </c>
      <c r="RZ7" s="114">
        <v>1327745</v>
      </c>
      <c r="SA7" s="115"/>
    </row>
    <row r="8" spans="1:495" x14ac:dyDescent="0.3">
      <c r="A8" s="291">
        <v>3</v>
      </c>
      <c r="B8" s="25" t="s">
        <v>11</v>
      </c>
      <c r="C8" s="26" t="s">
        <v>47</v>
      </c>
      <c r="D8" s="283"/>
      <c r="E8" s="27"/>
      <c r="F8" s="192"/>
      <c r="G8" s="36"/>
      <c r="H8" s="46"/>
      <c r="I8" s="47">
        <f t="shared" si="0"/>
        <v>0</v>
      </c>
      <c r="J8" s="46"/>
      <c r="K8" s="47">
        <f t="shared" ref="K8:K26" si="95">J8-H8</f>
        <v>0</v>
      </c>
      <c r="L8" s="46"/>
      <c r="M8" s="47"/>
      <c r="N8" s="46"/>
      <c r="O8" s="47"/>
      <c r="P8" s="46"/>
      <c r="Q8" s="47"/>
      <c r="R8" s="232"/>
      <c r="S8" s="233"/>
      <c r="T8" s="46"/>
      <c r="U8" s="36"/>
      <c r="V8" s="46"/>
      <c r="W8" s="47"/>
      <c r="X8" s="39"/>
      <c r="Y8" s="32"/>
      <c r="Z8" s="32"/>
      <c r="AA8" s="36"/>
      <c r="AB8" s="46"/>
      <c r="AC8" s="47"/>
      <c r="AD8" s="39"/>
      <c r="AE8" s="32"/>
      <c r="AF8" s="232"/>
      <c r="AG8" s="233"/>
      <c r="AH8" s="27"/>
      <c r="AI8" s="32"/>
      <c r="AJ8" s="27"/>
      <c r="AK8" s="32"/>
      <c r="AL8" s="232"/>
      <c r="AM8" s="233"/>
      <c r="AN8" s="232"/>
      <c r="AO8" s="233"/>
      <c r="AP8" s="27"/>
      <c r="AQ8" s="32"/>
      <c r="AR8" s="27"/>
      <c r="AS8" s="32"/>
      <c r="AT8" s="285"/>
      <c r="AU8" s="285"/>
      <c r="AV8" s="27"/>
      <c r="AW8" s="32"/>
      <c r="AX8" s="27"/>
      <c r="AY8" s="32"/>
      <c r="AZ8" s="27"/>
      <c r="BA8" s="32"/>
      <c r="BB8" s="27"/>
      <c r="BC8" s="32"/>
      <c r="BD8" s="27"/>
      <c r="BE8" s="32"/>
      <c r="BF8" s="27"/>
      <c r="BG8" s="32"/>
      <c r="BH8" s="269"/>
      <c r="BI8" s="269"/>
      <c r="BJ8" s="18"/>
      <c r="BK8" s="113"/>
      <c r="BL8" s="114"/>
      <c r="BM8" s="114"/>
      <c r="BN8" s="115"/>
      <c r="BO8" s="113"/>
      <c r="BP8" s="114"/>
      <c r="BQ8" s="114"/>
      <c r="BR8" s="115"/>
      <c r="BS8" s="113"/>
      <c r="BT8" s="114"/>
      <c r="BU8" s="114"/>
      <c r="BV8" s="115"/>
      <c r="BW8" s="113">
        <v>1364387</v>
      </c>
      <c r="BX8" s="114">
        <v>4605</v>
      </c>
      <c r="BY8" s="114">
        <f t="shared" si="1"/>
        <v>1368992</v>
      </c>
      <c r="BZ8" s="115"/>
      <c r="CA8" s="113">
        <v>1364386</v>
      </c>
      <c r="CB8" s="114">
        <v>5571</v>
      </c>
      <c r="CC8" s="114">
        <f t="shared" ref="CC8" si="96">CA8+CB8</f>
        <v>1369957</v>
      </c>
      <c r="CD8" s="115">
        <f t="shared" si="3"/>
        <v>965</v>
      </c>
      <c r="CE8" s="113">
        <v>1364386</v>
      </c>
      <c r="CF8" s="114">
        <v>6741</v>
      </c>
      <c r="CG8" s="114">
        <f t="shared" si="4"/>
        <v>1371127</v>
      </c>
      <c r="CH8" s="115">
        <f t="shared" si="5"/>
        <v>1170</v>
      </c>
      <c r="CI8" s="254"/>
      <c r="CJ8" s="240"/>
      <c r="CK8" s="240"/>
      <c r="CL8" s="255"/>
      <c r="CM8" s="113">
        <v>1364386</v>
      </c>
      <c r="CN8" s="114">
        <v>4186</v>
      </c>
      <c r="CO8" s="114">
        <f t="shared" ref="CO8" si="97">CM8+CN8</f>
        <v>1368572</v>
      </c>
      <c r="CP8" s="115">
        <f t="shared" si="7"/>
        <v>-2555</v>
      </c>
      <c r="CQ8" s="113">
        <v>1364386</v>
      </c>
      <c r="CR8" s="114">
        <v>4604</v>
      </c>
      <c r="CS8" s="114">
        <f t="shared" ref="CS8:CS9" si="98">CQ8+CR8</f>
        <v>1368990</v>
      </c>
      <c r="CT8" s="115">
        <f t="shared" si="9"/>
        <v>418</v>
      </c>
      <c r="CU8" s="113">
        <v>1364386</v>
      </c>
      <c r="CV8" s="114">
        <v>4186</v>
      </c>
      <c r="CW8" s="114">
        <f t="shared" ref="CW8:CW9" si="99">CU8+CV8</f>
        <v>1368572</v>
      </c>
      <c r="CX8" s="115">
        <f t="shared" si="11"/>
        <v>-418</v>
      </c>
      <c r="CY8" s="113">
        <v>1364386</v>
      </c>
      <c r="CZ8" s="114">
        <v>4604</v>
      </c>
      <c r="DA8" s="114">
        <f t="shared" ref="DA8:DA9" si="100">CY8+CZ8</f>
        <v>1368990</v>
      </c>
      <c r="DB8" s="115">
        <f t="shared" si="13"/>
        <v>418</v>
      </c>
      <c r="DC8" s="113">
        <v>1364386</v>
      </c>
      <c r="DD8" s="114">
        <v>3459</v>
      </c>
      <c r="DE8" s="114">
        <f t="shared" ref="DE8:DE9" si="101">DC8+DD8</f>
        <v>1367845</v>
      </c>
      <c r="DF8" s="115">
        <f t="shared" si="15"/>
        <v>-1145</v>
      </c>
      <c r="DG8" s="254"/>
      <c r="DH8" s="240"/>
      <c r="DI8" s="240"/>
      <c r="DJ8" s="240"/>
      <c r="DK8" s="254"/>
      <c r="DL8" s="240"/>
      <c r="DM8" s="240"/>
      <c r="DN8" s="240"/>
      <c r="DO8" s="113">
        <v>1364386</v>
      </c>
      <c r="DP8" s="114">
        <v>5571</v>
      </c>
      <c r="DQ8" s="114">
        <f t="shared" ref="DQ8:DQ9" si="102">DO8+DP8</f>
        <v>1369957</v>
      </c>
      <c r="DR8" s="115"/>
      <c r="DS8" s="113">
        <v>1364386</v>
      </c>
      <c r="DT8" s="114">
        <v>3459</v>
      </c>
      <c r="DU8" s="114">
        <f t="shared" ref="DU8:DU11" si="103">DS8+DT8</f>
        <v>1367845</v>
      </c>
      <c r="DV8" s="115">
        <f t="shared" si="18"/>
        <v>-2112</v>
      </c>
      <c r="DW8" s="113">
        <v>1364386</v>
      </c>
      <c r="DX8" s="114">
        <v>3459</v>
      </c>
      <c r="DY8" s="114">
        <f t="shared" ref="DY8:DY11" si="104">DW8+DX8</f>
        <v>1367845</v>
      </c>
      <c r="DZ8" s="115">
        <f t="shared" si="63"/>
        <v>0</v>
      </c>
      <c r="EA8" s="113">
        <v>1364386</v>
      </c>
      <c r="EB8" s="114">
        <v>3459</v>
      </c>
      <c r="EC8" s="114">
        <f t="shared" ref="EC8:EC11" si="105">EA8+EB8</f>
        <v>1367845</v>
      </c>
      <c r="ED8" s="115">
        <f t="shared" si="64"/>
        <v>0</v>
      </c>
      <c r="EE8" s="113">
        <v>1364386</v>
      </c>
      <c r="EF8" s="114">
        <v>1775</v>
      </c>
      <c r="EG8" s="114">
        <f t="shared" ref="EG8:EG11" si="106">EE8+EF8</f>
        <v>1366161</v>
      </c>
      <c r="EH8" s="115">
        <f t="shared" si="65"/>
        <v>-1684</v>
      </c>
      <c r="EI8" s="113">
        <v>1364386</v>
      </c>
      <c r="EJ8" s="114">
        <v>3459</v>
      </c>
      <c r="EK8" s="114">
        <f t="shared" ref="EK8:EK11" si="107">EI8+EJ8</f>
        <v>1367845</v>
      </c>
      <c r="EL8" s="115">
        <f t="shared" si="66"/>
        <v>1684</v>
      </c>
      <c r="EM8" s="271"/>
      <c r="EN8" s="271"/>
      <c r="EO8" s="113">
        <v>1364386</v>
      </c>
      <c r="EP8" s="114">
        <v>1775</v>
      </c>
      <c r="EQ8" s="114">
        <f t="shared" ref="EQ8:EQ11" si="108">EO8+EP8</f>
        <v>1366161</v>
      </c>
      <c r="ER8" s="115">
        <f t="shared" si="24"/>
        <v>-1684</v>
      </c>
      <c r="ES8" s="113">
        <v>1364386</v>
      </c>
      <c r="ET8" s="114">
        <v>3459</v>
      </c>
      <c r="EU8" s="114">
        <f t="shared" ref="EU8:EU11" si="109">ES8+ET8</f>
        <v>1367845</v>
      </c>
      <c r="EV8" s="115">
        <f t="shared" si="67"/>
        <v>3459</v>
      </c>
      <c r="EW8" s="260"/>
      <c r="EX8" s="260"/>
      <c r="EY8" s="260"/>
      <c r="EZ8" s="260"/>
      <c r="FA8" s="113">
        <v>1364386</v>
      </c>
      <c r="FB8" s="114">
        <v>2859</v>
      </c>
      <c r="FC8" s="114">
        <f t="shared" ref="FC8:FC11" si="110">FA8+FB8</f>
        <v>1367245</v>
      </c>
      <c r="FD8" s="115"/>
      <c r="FE8" s="113">
        <v>1364386</v>
      </c>
      <c r="FF8" s="114">
        <v>2599</v>
      </c>
      <c r="FG8" s="114">
        <f t="shared" ref="FG8:FG11" si="111">FE8+FF8</f>
        <v>1366985</v>
      </c>
      <c r="FH8" s="115">
        <f t="shared" si="28"/>
        <v>-260</v>
      </c>
      <c r="FI8" s="113">
        <v>1364386</v>
      </c>
      <c r="FJ8" s="114">
        <v>3805</v>
      </c>
      <c r="FK8" s="114">
        <f t="shared" ref="FK8:FK11" si="112">FI8+FJ8</f>
        <v>1368191</v>
      </c>
      <c r="FL8" s="115">
        <f t="shared" si="30"/>
        <v>1206</v>
      </c>
      <c r="FM8" s="260"/>
      <c r="FN8" s="260"/>
      <c r="FO8" s="260"/>
      <c r="FP8" s="260"/>
      <c r="FQ8" s="27"/>
      <c r="FR8" s="32"/>
      <c r="FS8" s="27"/>
      <c r="FT8" s="32"/>
      <c r="FU8" s="113">
        <v>1364386</v>
      </c>
      <c r="FV8" s="114">
        <v>4186</v>
      </c>
      <c r="FW8" s="114">
        <f t="shared" ref="FW8:FW11" si="113">FU8+FV8</f>
        <v>1368572</v>
      </c>
      <c r="FX8" s="115"/>
      <c r="FZ8" s="113"/>
      <c r="GA8" s="114"/>
      <c r="GB8" s="114"/>
      <c r="GC8" s="115"/>
      <c r="GD8" s="260"/>
      <c r="GE8" s="260"/>
      <c r="GF8" s="260"/>
      <c r="GG8" s="260"/>
      <c r="GH8" s="113">
        <v>1364386</v>
      </c>
      <c r="GI8" s="114">
        <v>3145</v>
      </c>
      <c r="GJ8" s="114">
        <f t="shared" ref="GJ8:GJ11" si="114">GH8+GI8</f>
        <v>1367531</v>
      </c>
      <c r="GK8" s="115"/>
      <c r="GL8" s="113">
        <v>1364386</v>
      </c>
      <c r="GM8" s="114">
        <v>3805</v>
      </c>
      <c r="GN8" s="114">
        <f t="shared" ref="GN8:GN11" si="115">GL8+GM8</f>
        <v>1368191</v>
      </c>
      <c r="GO8" s="115">
        <f t="shared" ref="GO8:GO10" si="116">GN8-GJ8</f>
        <v>660</v>
      </c>
      <c r="GP8" s="260"/>
      <c r="GQ8" s="260"/>
      <c r="GR8" s="260"/>
      <c r="GS8" s="260"/>
      <c r="GT8" s="113">
        <v>1364386</v>
      </c>
      <c r="GU8" s="114">
        <v>3145</v>
      </c>
      <c r="GV8" s="114">
        <f t="shared" ref="GV8:GV11" si="117">GT8+GU8</f>
        <v>1367531</v>
      </c>
      <c r="GW8" s="115"/>
      <c r="GX8" s="113">
        <v>1364386</v>
      </c>
      <c r="GY8" s="114">
        <v>3459</v>
      </c>
      <c r="GZ8" s="114">
        <f t="shared" si="35"/>
        <v>1367845</v>
      </c>
      <c r="HA8" s="115">
        <f t="shared" si="69"/>
        <v>314</v>
      </c>
      <c r="HB8" s="113">
        <v>1364386</v>
      </c>
      <c r="HC8" s="114">
        <v>3805</v>
      </c>
      <c r="HD8" s="114">
        <f t="shared" si="36"/>
        <v>1368191</v>
      </c>
      <c r="HE8" s="115">
        <f t="shared" si="70"/>
        <v>346</v>
      </c>
      <c r="HF8" s="113">
        <v>1364386</v>
      </c>
      <c r="HG8" s="114">
        <v>3459</v>
      </c>
      <c r="HH8" s="114">
        <f t="shared" si="37"/>
        <v>1367845</v>
      </c>
      <c r="HI8" s="115">
        <f t="shared" si="71"/>
        <v>-346</v>
      </c>
      <c r="HJ8" s="113">
        <v>1364386</v>
      </c>
      <c r="HK8" s="114">
        <v>3459</v>
      </c>
      <c r="HL8" s="114">
        <f t="shared" si="38"/>
        <v>1367845</v>
      </c>
      <c r="HM8" s="115">
        <f t="shared" si="72"/>
        <v>0</v>
      </c>
      <c r="HN8" s="113">
        <v>1364386</v>
      </c>
      <c r="HO8" s="114">
        <v>3145</v>
      </c>
      <c r="HP8" s="114">
        <f t="shared" si="39"/>
        <v>1367531</v>
      </c>
      <c r="HQ8" s="115">
        <f t="shared" si="73"/>
        <v>-314</v>
      </c>
      <c r="HR8" s="254"/>
      <c r="HS8" s="240"/>
      <c r="HT8" s="240"/>
      <c r="HU8" s="255"/>
      <c r="HV8" s="113">
        <v>1364386</v>
      </c>
      <c r="HW8" s="114">
        <v>2148</v>
      </c>
      <c r="HX8" s="114">
        <f t="shared" si="40"/>
        <v>1366534</v>
      </c>
      <c r="HY8" s="115"/>
      <c r="HZ8" s="113">
        <v>1364386</v>
      </c>
      <c r="IA8" s="114">
        <v>3459</v>
      </c>
      <c r="IB8" s="114">
        <f t="shared" si="41"/>
        <v>1367845</v>
      </c>
      <c r="IC8" s="115">
        <f t="shared" si="74"/>
        <v>1311</v>
      </c>
      <c r="ID8" s="113">
        <v>1364386</v>
      </c>
      <c r="IE8" s="114">
        <v>4186</v>
      </c>
      <c r="IF8" s="114">
        <f t="shared" si="42"/>
        <v>1368572</v>
      </c>
      <c r="IG8" s="115">
        <f t="shared" si="75"/>
        <v>727</v>
      </c>
      <c r="IH8" s="113">
        <v>1364386</v>
      </c>
      <c r="II8" s="114">
        <v>25602</v>
      </c>
      <c r="IJ8" s="114">
        <f t="shared" si="43"/>
        <v>1389988</v>
      </c>
      <c r="IK8" s="115">
        <f t="shared" si="76"/>
        <v>21416</v>
      </c>
      <c r="IL8" s="113">
        <v>1364386</v>
      </c>
      <c r="IM8" s="114">
        <v>4186</v>
      </c>
      <c r="IN8" s="114">
        <f t="shared" si="44"/>
        <v>1368572</v>
      </c>
      <c r="IO8" s="115">
        <f t="shared" si="77"/>
        <v>-21416</v>
      </c>
      <c r="IP8" s="254"/>
      <c r="IQ8" s="240"/>
      <c r="IR8" s="240"/>
      <c r="IS8" s="255"/>
      <c r="IT8" s="254"/>
      <c r="IU8" s="240"/>
      <c r="IV8" s="240"/>
      <c r="IW8" s="255"/>
      <c r="IX8" s="113">
        <v>1364386</v>
      </c>
      <c r="IY8" s="114">
        <v>2362</v>
      </c>
      <c r="IZ8" s="114">
        <f t="shared" si="45"/>
        <v>1366748</v>
      </c>
      <c r="JA8" s="115"/>
      <c r="JB8" s="113">
        <v>1364386</v>
      </c>
      <c r="JC8" s="114">
        <v>3145</v>
      </c>
      <c r="JD8" s="114">
        <f t="shared" si="46"/>
        <v>1367531</v>
      </c>
      <c r="JE8" s="115">
        <f t="shared" si="78"/>
        <v>783</v>
      </c>
      <c r="JF8" s="113">
        <v>1364386</v>
      </c>
      <c r="JG8" s="114">
        <v>3805</v>
      </c>
      <c r="JH8" s="114">
        <f t="shared" si="47"/>
        <v>1368191</v>
      </c>
      <c r="JI8" s="115">
        <f t="shared" si="79"/>
        <v>660</v>
      </c>
      <c r="JJ8" s="113">
        <v>1364386</v>
      </c>
      <c r="JK8" s="114">
        <v>3459</v>
      </c>
      <c r="JL8" s="114">
        <f t="shared" si="48"/>
        <v>1367845</v>
      </c>
      <c r="JM8" s="115">
        <f t="shared" si="80"/>
        <v>-346</v>
      </c>
      <c r="JN8" s="113">
        <v>1364386</v>
      </c>
      <c r="JO8" s="114">
        <v>3145</v>
      </c>
      <c r="JP8" s="114">
        <f t="shared" si="49"/>
        <v>1367531</v>
      </c>
      <c r="JQ8" s="115">
        <f t="shared" si="81"/>
        <v>-314</v>
      </c>
      <c r="JR8" s="113"/>
      <c r="JS8" s="114"/>
      <c r="JT8" s="114"/>
      <c r="JU8" s="115"/>
      <c r="JV8" s="254"/>
      <c r="JW8" s="240"/>
      <c r="JX8" s="240"/>
      <c r="JY8" s="255"/>
      <c r="JZ8" s="113">
        <v>1391009</v>
      </c>
      <c r="KA8" s="114">
        <v>3805</v>
      </c>
      <c r="KB8" s="114">
        <f t="shared" si="50"/>
        <v>1394814</v>
      </c>
      <c r="KC8" s="115">
        <f t="shared" si="82"/>
        <v>1394814</v>
      </c>
      <c r="KD8" s="113">
        <v>1391009</v>
      </c>
      <c r="KE8" s="114">
        <v>3145</v>
      </c>
      <c r="KF8" s="114">
        <f t="shared" si="51"/>
        <v>1394154</v>
      </c>
      <c r="KG8" s="115">
        <f t="shared" si="83"/>
        <v>-660</v>
      </c>
      <c r="KH8" s="113">
        <v>1391009</v>
      </c>
      <c r="KI8" s="114">
        <v>3459</v>
      </c>
      <c r="KJ8" s="114">
        <f t="shared" si="52"/>
        <v>1394468</v>
      </c>
      <c r="KK8" s="115">
        <f t="shared" si="84"/>
        <v>314</v>
      </c>
      <c r="KL8" s="113">
        <v>1391009</v>
      </c>
      <c r="KM8" s="114">
        <v>3805</v>
      </c>
      <c r="KN8" s="114">
        <f t="shared" si="53"/>
        <v>1394814</v>
      </c>
      <c r="KO8" s="115">
        <f t="shared" si="85"/>
        <v>346</v>
      </c>
      <c r="KP8" s="113">
        <v>1391009</v>
      </c>
      <c r="KQ8" s="114">
        <v>3459</v>
      </c>
      <c r="KR8" s="114">
        <f t="shared" si="54"/>
        <v>1394468</v>
      </c>
      <c r="KS8" s="115">
        <f t="shared" si="86"/>
        <v>-346</v>
      </c>
      <c r="KU8" s="113">
        <v>1391009</v>
      </c>
      <c r="KV8" s="114">
        <v>3459</v>
      </c>
      <c r="KW8" s="114">
        <f t="shared" si="55"/>
        <v>1394468</v>
      </c>
      <c r="KX8" s="115">
        <f t="shared" si="87"/>
        <v>1394814</v>
      </c>
      <c r="KY8" s="260"/>
      <c r="KZ8" s="260"/>
      <c r="LA8" s="260"/>
      <c r="LB8" s="260"/>
      <c r="LC8" s="260"/>
      <c r="LD8" s="260"/>
      <c r="LE8" s="260"/>
      <c r="LF8" s="260"/>
      <c r="LG8" s="113">
        <v>1391009</v>
      </c>
      <c r="LH8" s="114">
        <v>3459</v>
      </c>
      <c r="LI8" s="114">
        <f t="shared" si="56"/>
        <v>1394468</v>
      </c>
      <c r="LJ8" s="115"/>
      <c r="LK8" s="113"/>
      <c r="LL8" s="114"/>
      <c r="LM8" s="114"/>
      <c r="LN8" s="115"/>
      <c r="LO8" s="260"/>
      <c r="LP8" s="260"/>
      <c r="LQ8" s="260"/>
      <c r="LR8" s="260"/>
      <c r="LS8" s="260"/>
      <c r="LT8" s="260"/>
      <c r="LU8" s="260"/>
      <c r="LV8" s="260"/>
      <c r="LW8" s="113">
        <v>1391009</v>
      </c>
      <c r="LX8" s="114">
        <v>2859</v>
      </c>
      <c r="LY8" s="114">
        <f t="shared" ref="LY8:LY14" si="118">LW8+LX8</f>
        <v>1393868</v>
      </c>
      <c r="LZ8" s="115"/>
      <c r="MA8" s="260"/>
      <c r="MB8" s="260"/>
      <c r="MC8" s="260"/>
      <c r="MD8" s="260"/>
      <c r="ME8" s="113">
        <v>1391009</v>
      </c>
      <c r="MF8" s="114">
        <v>3145</v>
      </c>
      <c r="MG8" s="114">
        <f t="shared" ref="MG8:MG14" si="119">ME8+MF8</f>
        <v>1394154</v>
      </c>
      <c r="MH8" s="115"/>
      <c r="MI8" s="113">
        <v>1391009</v>
      </c>
      <c r="MJ8" s="114">
        <v>5571</v>
      </c>
      <c r="MK8" s="114">
        <f t="shared" ref="MK8:MK14" si="120">MI8+MJ8</f>
        <v>1396580</v>
      </c>
      <c r="ML8" s="115">
        <f t="shared" si="88"/>
        <v>2426</v>
      </c>
      <c r="MM8" s="113">
        <v>1391009</v>
      </c>
      <c r="MN8" s="114">
        <v>3145</v>
      </c>
      <c r="MO8" s="114">
        <f t="shared" ref="MO8:MO14" si="121">MM8+MN8</f>
        <v>1394154</v>
      </c>
      <c r="MP8" s="115">
        <f t="shared" si="89"/>
        <v>-2426</v>
      </c>
      <c r="MQ8" s="113">
        <v>1391009</v>
      </c>
      <c r="MR8" s="114">
        <v>3145</v>
      </c>
      <c r="MS8" s="114">
        <f t="shared" ref="MS8:MS14" si="122">MQ8+MR8</f>
        <v>1394154</v>
      </c>
      <c r="MT8" s="115">
        <f t="shared" si="90"/>
        <v>0</v>
      </c>
      <c r="MU8" s="113">
        <v>1391009</v>
      </c>
      <c r="MV8" s="114">
        <v>3145</v>
      </c>
      <c r="MW8" s="114">
        <f t="shared" ref="MW8:MW14" si="123">MU8+MV8</f>
        <v>1394154</v>
      </c>
      <c r="MX8" s="115">
        <f t="shared" si="91"/>
        <v>0</v>
      </c>
      <c r="MY8" s="260"/>
      <c r="MZ8" s="260"/>
      <c r="NA8" s="260"/>
      <c r="NB8" s="260"/>
      <c r="NC8" s="260"/>
      <c r="ND8" s="260"/>
      <c r="NE8" s="260"/>
      <c r="NF8" s="260"/>
      <c r="NG8" s="113">
        <v>1391009</v>
      </c>
      <c r="NH8" s="114">
        <v>2859</v>
      </c>
      <c r="NI8" s="114"/>
      <c r="NJ8" s="115"/>
      <c r="NK8" s="113">
        <v>1391009</v>
      </c>
      <c r="NL8" s="114">
        <v>2859</v>
      </c>
      <c r="NM8" s="114"/>
      <c r="NN8" s="115"/>
      <c r="NO8" s="113">
        <v>1391009</v>
      </c>
      <c r="NP8" s="114">
        <v>3459</v>
      </c>
      <c r="NQ8" s="114">
        <f t="shared" si="92"/>
        <v>1394468</v>
      </c>
      <c r="NR8" s="115"/>
      <c r="NS8" s="113">
        <v>1391009</v>
      </c>
      <c r="NT8" s="114">
        <v>3805</v>
      </c>
      <c r="NU8" s="114">
        <f t="shared" si="93"/>
        <v>1394814</v>
      </c>
      <c r="NV8" s="115"/>
      <c r="NW8" s="260"/>
      <c r="NX8" s="260"/>
      <c r="NY8" s="260"/>
      <c r="NZ8" s="260"/>
      <c r="OA8" s="113">
        <v>1391009</v>
      </c>
      <c r="OB8" s="114">
        <v>3805</v>
      </c>
      <c r="OC8" s="114">
        <f t="shared" si="94"/>
        <v>1394814</v>
      </c>
      <c r="OD8" s="115"/>
      <c r="OE8" s="260"/>
      <c r="OF8" s="260"/>
      <c r="OG8" s="260"/>
      <c r="OH8" s="260"/>
      <c r="OI8" s="113">
        <v>1391009</v>
      </c>
      <c r="OJ8" s="114">
        <v>3459</v>
      </c>
      <c r="OK8" s="114">
        <v>1394468</v>
      </c>
      <c r="OL8" s="115"/>
      <c r="OM8" s="113">
        <v>1391009</v>
      </c>
      <c r="ON8" s="114">
        <v>3459</v>
      </c>
      <c r="OO8" s="114">
        <v>1394468</v>
      </c>
      <c r="OP8" s="115"/>
      <c r="OQ8" s="113">
        <v>1391009</v>
      </c>
      <c r="OR8" s="114">
        <v>3459</v>
      </c>
      <c r="OS8" s="114">
        <v>1394468</v>
      </c>
      <c r="OT8" s="115"/>
      <c r="OU8" s="113">
        <v>1420250</v>
      </c>
      <c r="OV8" s="114">
        <v>5571</v>
      </c>
      <c r="OW8" s="114">
        <v>1425822</v>
      </c>
      <c r="OX8" s="115"/>
      <c r="OY8" s="113">
        <v>1420250</v>
      </c>
      <c r="OZ8" s="114">
        <v>5571</v>
      </c>
      <c r="PA8" s="114">
        <v>1425822</v>
      </c>
      <c r="PB8" s="115"/>
      <c r="PC8" s="113">
        <v>1420250</v>
      </c>
      <c r="PD8" s="114">
        <v>1952</v>
      </c>
      <c r="PE8" s="114">
        <v>1422203</v>
      </c>
      <c r="PF8" s="115"/>
      <c r="PG8" s="113"/>
      <c r="PH8" s="114"/>
      <c r="PI8" s="114"/>
      <c r="PJ8" s="115"/>
      <c r="PK8" s="113">
        <v>1420250</v>
      </c>
      <c r="PL8" s="114">
        <v>1952</v>
      </c>
      <c r="PM8" s="114">
        <v>1422203</v>
      </c>
      <c r="PN8" s="115"/>
      <c r="PP8" s="113">
        <v>1420250</v>
      </c>
      <c r="PQ8" s="114">
        <v>5571</v>
      </c>
      <c r="PR8" s="114">
        <v>1425822</v>
      </c>
      <c r="PS8" s="115"/>
      <c r="PT8" s="113">
        <v>1420250</v>
      </c>
      <c r="PU8" s="114">
        <v>5571</v>
      </c>
      <c r="PV8" s="114">
        <v>1425822</v>
      </c>
      <c r="PW8" s="115"/>
      <c r="PX8" s="113">
        <v>1420250</v>
      </c>
      <c r="PY8" s="114">
        <v>5571</v>
      </c>
      <c r="PZ8" s="114">
        <v>1425822</v>
      </c>
      <c r="QA8" s="115"/>
      <c r="QB8" s="113">
        <v>1420250</v>
      </c>
      <c r="QC8" s="114">
        <v>5571</v>
      </c>
      <c r="QD8" s="114">
        <v>1425822</v>
      </c>
      <c r="QE8" s="115"/>
      <c r="QF8" s="113">
        <v>1420250</v>
      </c>
      <c r="QG8" s="114">
        <v>2362</v>
      </c>
      <c r="QH8" s="114">
        <v>1422613</v>
      </c>
      <c r="QI8" s="115"/>
      <c r="QJ8" s="290"/>
      <c r="QK8" s="290"/>
      <c r="QL8" s="290"/>
      <c r="QM8" s="290"/>
      <c r="QN8" s="113">
        <v>1420250</v>
      </c>
      <c r="QO8" s="114">
        <v>3145</v>
      </c>
      <c r="QP8" s="114">
        <v>1423395</v>
      </c>
      <c r="QQ8" s="115"/>
      <c r="QR8" s="113">
        <v>1420250</v>
      </c>
      <c r="QS8" s="114">
        <v>3145</v>
      </c>
      <c r="QT8" s="114">
        <v>1423395</v>
      </c>
      <c r="QU8" s="115"/>
      <c r="QV8" s="113">
        <v>1420250</v>
      </c>
      <c r="QW8" s="114">
        <v>3145</v>
      </c>
      <c r="QX8" s="114">
        <v>1423395</v>
      </c>
      <c r="QY8" s="115"/>
      <c r="QZ8" s="113">
        <v>1420250</v>
      </c>
      <c r="RA8" s="114">
        <v>3145</v>
      </c>
      <c r="RB8" s="114">
        <v>1423395</v>
      </c>
      <c r="RC8" s="115"/>
      <c r="RD8" s="113">
        <v>1420250</v>
      </c>
      <c r="RE8" s="114">
        <v>3145</v>
      </c>
      <c r="RF8" s="114">
        <v>1423395</v>
      </c>
      <c r="RG8" s="115"/>
      <c r="RH8" s="113">
        <v>1420250</v>
      </c>
      <c r="RI8" s="114">
        <v>3145</v>
      </c>
      <c r="RJ8" s="114">
        <v>1423395</v>
      </c>
      <c r="RK8" s="115"/>
      <c r="RL8" s="240"/>
      <c r="RM8" s="240"/>
      <c r="RN8" s="240"/>
      <c r="RO8" s="240"/>
      <c r="RP8" s="113">
        <v>1420250</v>
      </c>
      <c r="RQ8" s="114">
        <v>3145</v>
      </c>
      <c r="RR8" s="114">
        <v>1423395</v>
      </c>
      <c r="RS8" s="115"/>
      <c r="RT8" s="113">
        <v>1420250</v>
      </c>
      <c r="RU8" s="114">
        <v>3145</v>
      </c>
      <c r="RV8" s="114">
        <v>1423395</v>
      </c>
      <c r="RW8" s="115"/>
      <c r="RX8" s="113">
        <v>1420250</v>
      </c>
      <c r="RY8" s="114">
        <v>3145</v>
      </c>
      <c r="RZ8" s="114">
        <v>1423395</v>
      </c>
      <c r="SA8" s="115"/>
    </row>
    <row r="9" spans="1:495" x14ac:dyDescent="0.3">
      <c r="A9" s="291">
        <v>4</v>
      </c>
      <c r="B9" s="25" t="s">
        <v>12</v>
      </c>
      <c r="C9" s="26" t="s">
        <v>47</v>
      </c>
      <c r="D9" s="283"/>
      <c r="E9" s="27"/>
      <c r="F9" s="192"/>
      <c r="G9" s="36"/>
      <c r="H9" s="46"/>
      <c r="I9" s="47">
        <f t="shared" si="0"/>
        <v>0</v>
      </c>
      <c r="J9" s="46"/>
      <c r="K9" s="47">
        <f t="shared" si="95"/>
        <v>0</v>
      </c>
      <c r="L9" s="46"/>
      <c r="M9" s="47"/>
      <c r="N9" s="46"/>
      <c r="O9" s="47"/>
      <c r="P9" s="46"/>
      <c r="Q9" s="47"/>
      <c r="R9" s="232"/>
      <c r="S9" s="233"/>
      <c r="T9" s="46"/>
      <c r="U9" s="36"/>
      <c r="V9" s="46"/>
      <c r="W9" s="47"/>
      <c r="X9" s="39"/>
      <c r="Y9" s="32"/>
      <c r="Z9" s="32"/>
      <c r="AA9" s="36"/>
      <c r="AB9" s="46"/>
      <c r="AC9" s="47"/>
      <c r="AD9" s="39"/>
      <c r="AE9" s="32"/>
      <c r="AF9" s="232"/>
      <c r="AG9" s="233"/>
      <c r="AH9" s="27"/>
      <c r="AI9" s="32"/>
      <c r="AJ9" s="27"/>
      <c r="AK9" s="32"/>
      <c r="AL9" s="232"/>
      <c r="AM9" s="233"/>
      <c r="AN9" s="232"/>
      <c r="AO9" s="233"/>
      <c r="AP9" s="27"/>
      <c r="AQ9" s="32"/>
      <c r="AR9" s="27"/>
      <c r="AS9" s="32"/>
      <c r="AT9" s="285"/>
      <c r="AU9" s="285"/>
      <c r="AV9" s="27"/>
      <c r="AW9" s="32"/>
      <c r="AX9" s="27"/>
      <c r="AY9" s="32"/>
      <c r="AZ9" s="27"/>
      <c r="BA9" s="32"/>
      <c r="BB9" s="27"/>
      <c r="BC9" s="32"/>
      <c r="BD9" s="27"/>
      <c r="BE9" s="32"/>
      <c r="BF9" s="27"/>
      <c r="BG9" s="32"/>
      <c r="BH9" s="269"/>
      <c r="BI9" s="269"/>
      <c r="BJ9" s="18"/>
      <c r="BK9" s="113"/>
      <c r="BL9" s="114"/>
      <c r="BM9" s="114"/>
      <c r="BN9" s="115"/>
      <c r="BO9" s="113"/>
      <c r="BP9" s="114"/>
      <c r="BQ9" s="114"/>
      <c r="BR9" s="115"/>
      <c r="BS9" s="113"/>
      <c r="BT9" s="114"/>
      <c r="BU9" s="114"/>
      <c r="BV9" s="115"/>
      <c r="BW9" s="113">
        <v>658736</v>
      </c>
      <c r="BX9" s="114">
        <v>44563</v>
      </c>
      <c r="BY9" s="114">
        <f t="shared" si="1"/>
        <v>703299</v>
      </c>
      <c r="BZ9" s="115"/>
      <c r="CA9" s="113">
        <v>658735</v>
      </c>
      <c r="CB9" s="114">
        <v>44562</v>
      </c>
      <c r="CC9" s="114">
        <f t="shared" ref="CC9" si="124">CA9+CB9</f>
        <v>703297</v>
      </c>
      <c r="CD9" s="115">
        <f t="shared" si="3"/>
        <v>-2</v>
      </c>
      <c r="CE9" s="113">
        <v>658735</v>
      </c>
      <c r="CF9" s="114">
        <v>44562</v>
      </c>
      <c r="CG9" s="114">
        <f t="shared" si="4"/>
        <v>703297</v>
      </c>
      <c r="CH9" s="115">
        <f t="shared" si="5"/>
        <v>0</v>
      </c>
      <c r="CI9" s="254"/>
      <c r="CJ9" s="240"/>
      <c r="CK9" s="240"/>
      <c r="CL9" s="255"/>
      <c r="CM9" s="113">
        <v>658735</v>
      </c>
      <c r="CN9" s="114">
        <v>44562</v>
      </c>
      <c r="CO9" s="114">
        <f t="shared" ref="CO9:CO11" si="125">CM9+CN9</f>
        <v>703297</v>
      </c>
      <c r="CP9" s="115">
        <f t="shared" si="7"/>
        <v>0</v>
      </c>
      <c r="CQ9" s="113">
        <v>658735</v>
      </c>
      <c r="CR9" s="114">
        <v>44562</v>
      </c>
      <c r="CS9" s="114">
        <f t="shared" si="98"/>
        <v>703297</v>
      </c>
      <c r="CT9" s="115">
        <f t="shared" si="9"/>
        <v>0</v>
      </c>
      <c r="CU9" s="113">
        <v>658735</v>
      </c>
      <c r="CV9" s="114">
        <v>44562</v>
      </c>
      <c r="CW9" s="114">
        <f t="shared" si="99"/>
        <v>703297</v>
      </c>
      <c r="CX9" s="115">
        <f t="shared" si="11"/>
        <v>0</v>
      </c>
      <c r="CY9" s="113">
        <v>658735</v>
      </c>
      <c r="CZ9" s="114">
        <v>44562</v>
      </c>
      <c r="DA9" s="114">
        <f t="shared" si="100"/>
        <v>703297</v>
      </c>
      <c r="DB9" s="115">
        <f t="shared" si="13"/>
        <v>0</v>
      </c>
      <c r="DC9" s="113">
        <v>658735</v>
      </c>
      <c r="DD9" s="114">
        <v>44562</v>
      </c>
      <c r="DE9" s="114">
        <f t="shared" si="101"/>
        <v>703297</v>
      </c>
      <c r="DF9" s="115">
        <f t="shared" si="15"/>
        <v>0</v>
      </c>
      <c r="DG9" s="254"/>
      <c r="DH9" s="240"/>
      <c r="DI9" s="240"/>
      <c r="DJ9" s="240"/>
      <c r="DK9" s="254"/>
      <c r="DL9" s="240"/>
      <c r="DM9" s="240"/>
      <c r="DN9" s="240"/>
      <c r="DO9" s="113">
        <v>658796</v>
      </c>
      <c r="DP9" s="114">
        <v>44562</v>
      </c>
      <c r="DQ9" s="114">
        <f t="shared" si="102"/>
        <v>703358</v>
      </c>
      <c r="DR9" s="115"/>
      <c r="DS9" s="113">
        <v>659115</v>
      </c>
      <c r="DT9" s="114">
        <v>44562</v>
      </c>
      <c r="DU9" s="114">
        <f t="shared" si="103"/>
        <v>703677</v>
      </c>
      <c r="DV9" s="115">
        <f t="shared" si="18"/>
        <v>319</v>
      </c>
      <c r="DW9" s="113">
        <v>659570</v>
      </c>
      <c r="DX9" s="114">
        <v>44562</v>
      </c>
      <c r="DY9" s="114">
        <f t="shared" si="104"/>
        <v>704132</v>
      </c>
      <c r="DZ9" s="115">
        <f t="shared" si="63"/>
        <v>455</v>
      </c>
      <c r="EA9" s="113">
        <v>659643</v>
      </c>
      <c r="EB9" s="114">
        <v>44562</v>
      </c>
      <c r="EC9" s="114">
        <f t="shared" si="105"/>
        <v>704205</v>
      </c>
      <c r="ED9" s="115">
        <f t="shared" si="64"/>
        <v>73</v>
      </c>
      <c r="EE9" s="113">
        <v>660175</v>
      </c>
      <c r="EF9" s="114">
        <v>44562</v>
      </c>
      <c r="EG9" s="114">
        <f t="shared" si="106"/>
        <v>704737</v>
      </c>
      <c r="EH9" s="115">
        <f t="shared" si="65"/>
        <v>532</v>
      </c>
      <c r="EI9" s="113">
        <v>660424</v>
      </c>
      <c r="EJ9" s="114">
        <v>44562</v>
      </c>
      <c r="EK9" s="114">
        <f t="shared" si="107"/>
        <v>704986</v>
      </c>
      <c r="EL9" s="115">
        <f t="shared" si="66"/>
        <v>249</v>
      </c>
      <c r="EM9" s="271"/>
      <c r="EN9" s="271"/>
      <c r="EO9" s="113">
        <v>660687</v>
      </c>
      <c r="EP9" s="114">
        <v>44562</v>
      </c>
      <c r="EQ9" s="114">
        <f t="shared" si="108"/>
        <v>705249</v>
      </c>
      <c r="ER9" s="115">
        <f t="shared" si="24"/>
        <v>263</v>
      </c>
      <c r="ES9" s="113">
        <v>660687</v>
      </c>
      <c r="ET9" s="114">
        <v>44562</v>
      </c>
      <c r="EU9" s="114">
        <f t="shared" si="109"/>
        <v>705249</v>
      </c>
      <c r="EV9" s="115">
        <f>EU9-EQ9</f>
        <v>0</v>
      </c>
      <c r="EW9" s="260"/>
      <c r="EX9" s="260"/>
      <c r="EY9" s="260"/>
      <c r="EZ9" s="260"/>
      <c r="FA9" s="113">
        <v>661621</v>
      </c>
      <c r="FB9" s="114">
        <v>44562</v>
      </c>
      <c r="FC9" s="114">
        <f t="shared" si="110"/>
        <v>706183</v>
      </c>
      <c r="FD9" s="115"/>
      <c r="FE9" s="113">
        <v>661621</v>
      </c>
      <c r="FF9" s="114">
        <v>44562</v>
      </c>
      <c r="FG9" s="114">
        <f t="shared" si="111"/>
        <v>706183</v>
      </c>
      <c r="FH9" s="115">
        <f t="shared" si="28"/>
        <v>0</v>
      </c>
      <c r="FI9" s="113">
        <v>662084</v>
      </c>
      <c r="FJ9" s="114">
        <v>44562</v>
      </c>
      <c r="FK9" s="114">
        <f t="shared" si="112"/>
        <v>706646</v>
      </c>
      <c r="FL9" s="115">
        <f t="shared" si="30"/>
        <v>463</v>
      </c>
      <c r="FM9" s="260"/>
      <c r="FN9" s="260"/>
      <c r="FO9" s="260"/>
      <c r="FP9" s="260"/>
      <c r="FQ9" s="27"/>
      <c r="FR9" s="32"/>
      <c r="FS9" s="27"/>
      <c r="FT9" s="32"/>
      <c r="FU9" s="113">
        <v>662627</v>
      </c>
      <c r="FV9" s="114">
        <v>44562</v>
      </c>
      <c r="FW9" s="114">
        <f t="shared" si="113"/>
        <v>707189</v>
      </c>
      <c r="FX9" s="32"/>
      <c r="FZ9" s="113"/>
      <c r="GA9" s="114"/>
      <c r="GB9" s="114"/>
      <c r="GC9" s="115"/>
      <c r="GD9" s="260"/>
      <c r="GE9" s="260"/>
      <c r="GF9" s="260"/>
      <c r="GG9" s="260"/>
      <c r="GH9" s="113">
        <v>662627</v>
      </c>
      <c r="GI9" s="114">
        <v>44562</v>
      </c>
      <c r="GJ9" s="114">
        <f t="shared" si="114"/>
        <v>707189</v>
      </c>
      <c r="GK9" s="115"/>
      <c r="GL9" s="113">
        <v>662627</v>
      </c>
      <c r="GM9" s="114">
        <v>44562</v>
      </c>
      <c r="GN9" s="114">
        <f t="shared" si="115"/>
        <v>707189</v>
      </c>
      <c r="GO9" s="115">
        <f t="shared" si="116"/>
        <v>0</v>
      </c>
      <c r="GP9" s="260"/>
      <c r="GQ9" s="260"/>
      <c r="GR9" s="260"/>
      <c r="GS9" s="260"/>
      <c r="GT9" s="113">
        <v>663979</v>
      </c>
      <c r="GU9" s="114">
        <v>44562</v>
      </c>
      <c r="GV9" s="114">
        <f t="shared" si="117"/>
        <v>708541</v>
      </c>
      <c r="GW9" s="115"/>
      <c r="GX9" s="113">
        <v>665326</v>
      </c>
      <c r="GY9" s="114">
        <v>44562</v>
      </c>
      <c r="GZ9" s="114">
        <f t="shared" si="35"/>
        <v>709888</v>
      </c>
      <c r="HA9" s="115">
        <f t="shared" si="69"/>
        <v>1347</v>
      </c>
      <c r="HB9" s="113">
        <v>665516</v>
      </c>
      <c r="HC9" s="114">
        <v>44562</v>
      </c>
      <c r="HD9" s="114">
        <f t="shared" si="36"/>
        <v>710078</v>
      </c>
      <c r="HE9" s="115">
        <f t="shared" si="70"/>
        <v>190</v>
      </c>
      <c r="HF9" s="113">
        <v>665789</v>
      </c>
      <c r="HG9" s="114">
        <v>44562</v>
      </c>
      <c r="HH9" s="114">
        <f t="shared" si="37"/>
        <v>710351</v>
      </c>
      <c r="HI9" s="115">
        <f t="shared" si="71"/>
        <v>273</v>
      </c>
      <c r="HJ9" s="113">
        <v>666010</v>
      </c>
      <c r="HK9" s="114">
        <v>44562</v>
      </c>
      <c r="HL9" s="114">
        <f t="shared" si="38"/>
        <v>710572</v>
      </c>
      <c r="HM9" s="115">
        <f t="shared" si="72"/>
        <v>221</v>
      </c>
      <c r="HN9" s="113">
        <v>666318</v>
      </c>
      <c r="HO9" s="114">
        <v>44562</v>
      </c>
      <c r="HP9" s="114">
        <f t="shared" si="39"/>
        <v>710880</v>
      </c>
      <c r="HQ9" s="115">
        <f t="shared" si="73"/>
        <v>308</v>
      </c>
      <c r="HR9" s="254"/>
      <c r="HS9" s="240"/>
      <c r="HT9" s="240"/>
      <c r="HU9" s="255"/>
      <c r="HV9" s="113">
        <v>666318</v>
      </c>
      <c r="HW9" s="114">
        <v>44562</v>
      </c>
      <c r="HX9" s="114">
        <f t="shared" si="40"/>
        <v>710880</v>
      </c>
      <c r="HY9" s="115"/>
      <c r="HZ9" s="113">
        <v>666814</v>
      </c>
      <c r="IA9" s="114">
        <v>44562</v>
      </c>
      <c r="IB9" s="114">
        <f t="shared" si="41"/>
        <v>711376</v>
      </c>
      <c r="IC9" s="115">
        <f t="shared" si="74"/>
        <v>496</v>
      </c>
      <c r="ID9" s="113">
        <v>667034</v>
      </c>
      <c r="IE9" s="114">
        <v>44562</v>
      </c>
      <c r="IF9" s="114">
        <f t="shared" si="42"/>
        <v>711596</v>
      </c>
      <c r="IG9" s="115">
        <f t="shared" si="75"/>
        <v>220</v>
      </c>
      <c r="IH9" s="113">
        <v>680988</v>
      </c>
      <c r="II9" s="114">
        <v>44562</v>
      </c>
      <c r="IJ9" s="114">
        <f t="shared" si="43"/>
        <v>725550</v>
      </c>
      <c r="IK9" s="115">
        <f t="shared" si="76"/>
        <v>13954</v>
      </c>
      <c r="IL9" s="113">
        <v>680988</v>
      </c>
      <c r="IM9" s="114">
        <v>44562</v>
      </c>
      <c r="IN9" s="114">
        <f t="shared" si="44"/>
        <v>725550</v>
      </c>
      <c r="IO9" s="115">
        <f t="shared" si="77"/>
        <v>0</v>
      </c>
      <c r="IP9" s="254"/>
      <c r="IQ9" s="240"/>
      <c r="IR9" s="240"/>
      <c r="IS9" s="255"/>
      <c r="IT9" s="254"/>
      <c r="IU9" s="240"/>
      <c r="IV9" s="240"/>
      <c r="IW9" s="255"/>
      <c r="IX9" s="113">
        <v>680988</v>
      </c>
      <c r="IY9" s="114">
        <v>44562</v>
      </c>
      <c r="IZ9" s="114">
        <f t="shared" si="45"/>
        <v>725550</v>
      </c>
      <c r="JA9" s="115"/>
      <c r="JB9" s="113">
        <v>680988</v>
      </c>
      <c r="JC9" s="114">
        <v>44562</v>
      </c>
      <c r="JD9" s="114">
        <f t="shared" si="46"/>
        <v>725550</v>
      </c>
      <c r="JE9" s="115">
        <f t="shared" si="78"/>
        <v>0</v>
      </c>
      <c r="JF9" s="113">
        <v>680988</v>
      </c>
      <c r="JG9" s="114">
        <v>44562</v>
      </c>
      <c r="JH9" s="114">
        <f t="shared" si="47"/>
        <v>725550</v>
      </c>
      <c r="JI9" s="115">
        <f t="shared" si="79"/>
        <v>0</v>
      </c>
      <c r="JJ9" s="113">
        <v>680988</v>
      </c>
      <c r="JK9" s="114">
        <v>44562</v>
      </c>
      <c r="JL9" s="114">
        <f t="shared" si="48"/>
        <v>725550</v>
      </c>
      <c r="JM9" s="115">
        <f t="shared" si="80"/>
        <v>0</v>
      </c>
      <c r="JN9" s="113">
        <v>680988</v>
      </c>
      <c r="JO9" s="114">
        <v>44562</v>
      </c>
      <c r="JP9" s="114">
        <f t="shared" si="49"/>
        <v>725550</v>
      </c>
      <c r="JQ9" s="115">
        <f t="shared" si="81"/>
        <v>0</v>
      </c>
      <c r="JR9" s="113"/>
      <c r="JS9" s="114"/>
      <c r="JT9" s="114"/>
      <c r="JU9" s="115"/>
      <c r="JV9" s="254"/>
      <c r="JW9" s="240"/>
      <c r="JX9" s="240"/>
      <c r="JY9" s="255"/>
      <c r="JZ9" s="113">
        <v>707617</v>
      </c>
      <c r="KA9" s="114">
        <v>44562</v>
      </c>
      <c r="KB9" s="114">
        <f t="shared" si="50"/>
        <v>752179</v>
      </c>
      <c r="KC9" s="115">
        <f t="shared" si="82"/>
        <v>752179</v>
      </c>
      <c r="KD9" s="113">
        <v>707617</v>
      </c>
      <c r="KE9" s="114">
        <v>53920</v>
      </c>
      <c r="KF9" s="114">
        <f t="shared" si="51"/>
        <v>761537</v>
      </c>
      <c r="KG9" s="115">
        <f t="shared" si="83"/>
        <v>9358</v>
      </c>
      <c r="KH9" s="113">
        <v>707617</v>
      </c>
      <c r="KI9" s="114">
        <v>53920</v>
      </c>
      <c r="KJ9" s="114">
        <f t="shared" si="52"/>
        <v>761537</v>
      </c>
      <c r="KK9" s="115">
        <f t="shared" si="84"/>
        <v>0</v>
      </c>
      <c r="KL9" s="113">
        <v>707617</v>
      </c>
      <c r="KM9" s="114">
        <v>53920</v>
      </c>
      <c r="KN9" s="114">
        <f t="shared" si="53"/>
        <v>761537</v>
      </c>
      <c r="KO9" s="115">
        <f t="shared" si="85"/>
        <v>0</v>
      </c>
      <c r="KP9" s="113">
        <v>707617</v>
      </c>
      <c r="KQ9" s="114">
        <v>53920</v>
      </c>
      <c r="KR9" s="114">
        <f t="shared" si="54"/>
        <v>761537</v>
      </c>
      <c r="KS9" s="115">
        <f t="shared" si="86"/>
        <v>0</v>
      </c>
      <c r="KU9" s="113">
        <v>707617</v>
      </c>
      <c r="KV9" s="114">
        <v>53920</v>
      </c>
      <c r="KW9" s="114">
        <f t="shared" si="55"/>
        <v>761537</v>
      </c>
      <c r="KX9" s="115">
        <f t="shared" si="87"/>
        <v>761537</v>
      </c>
      <c r="KY9" s="260"/>
      <c r="KZ9" s="260"/>
      <c r="LA9" s="260"/>
      <c r="LB9" s="260"/>
      <c r="LC9" s="260"/>
      <c r="LD9" s="260"/>
      <c r="LE9" s="260"/>
      <c r="LF9" s="260"/>
      <c r="LG9" s="113">
        <v>707617</v>
      </c>
      <c r="LH9" s="114">
        <v>53920</v>
      </c>
      <c r="LI9" s="114">
        <f t="shared" si="56"/>
        <v>761537</v>
      </c>
      <c r="LJ9" s="115"/>
      <c r="LK9" s="113"/>
      <c r="LL9" s="114"/>
      <c r="LM9" s="114"/>
      <c r="LN9" s="115"/>
      <c r="LO9" s="260"/>
      <c r="LP9" s="260"/>
      <c r="LQ9" s="260"/>
      <c r="LR9" s="260"/>
      <c r="LS9" s="260"/>
      <c r="LT9" s="260"/>
      <c r="LU9" s="260"/>
      <c r="LV9" s="260"/>
      <c r="LW9" s="113">
        <v>707617</v>
      </c>
      <c r="LX9" s="114">
        <v>53920</v>
      </c>
      <c r="LY9" s="114">
        <f t="shared" si="118"/>
        <v>761537</v>
      </c>
      <c r="LZ9" s="115"/>
      <c r="MA9" s="260"/>
      <c r="MB9" s="260"/>
      <c r="MC9" s="260"/>
      <c r="MD9" s="260"/>
      <c r="ME9" s="113">
        <v>707617</v>
      </c>
      <c r="MF9" s="114">
        <v>53920</v>
      </c>
      <c r="MG9" s="114">
        <f t="shared" si="119"/>
        <v>761537</v>
      </c>
      <c r="MH9" s="115"/>
      <c r="MI9" s="113">
        <v>707617</v>
      </c>
      <c r="MJ9" s="114">
        <v>53920</v>
      </c>
      <c r="MK9" s="114">
        <f t="shared" si="120"/>
        <v>761537</v>
      </c>
      <c r="ML9" s="115">
        <f t="shared" si="88"/>
        <v>0</v>
      </c>
      <c r="MM9" s="113">
        <v>707617</v>
      </c>
      <c r="MN9" s="114">
        <v>53920</v>
      </c>
      <c r="MO9" s="114">
        <f t="shared" si="121"/>
        <v>761537</v>
      </c>
      <c r="MP9" s="115">
        <f t="shared" si="89"/>
        <v>0</v>
      </c>
      <c r="MQ9" s="113">
        <v>707617</v>
      </c>
      <c r="MR9" s="114">
        <v>53920</v>
      </c>
      <c r="MS9" s="114">
        <f t="shared" si="122"/>
        <v>761537</v>
      </c>
      <c r="MT9" s="115">
        <f t="shared" si="90"/>
        <v>0</v>
      </c>
      <c r="MU9" s="113">
        <v>707617</v>
      </c>
      <c r="MV9" s="114">
        <v>53920</v>
      </c>
      <c r="MW9" s="114">
        <f t="shared" si="123"/>
        <v>761537</v>
      </c>
      <c r="MX9" s="115">
        <f t="shared" si="91"/>
        <v>0</v>
      </c>
      <c r="MY9" s="260"/>
      <c r="MZ9" s="260"/>
      <c r="NA9" s="260"/>
      <c r="NB9" s="260"/>
      <c r="NC9" s="260"/>
      <c r="ND9" s="260"/>
      <c r="NE9" s="260"/>
      <c r="NF9" s="260"/>
      <c r="NG9" s="113">
        <v>707617</v>
      </c>
      <c r="NH9" s="114">
        <v>53920</v>
      </c>
      <c r="NI9" s="114"/>
      <c r="NJ9" s="115"/>
      <c r="NK9" s="113">
        <v>707617</v>
      </c>
      <c r="NL9" s="114">
        <v>53920</v>
      </c>
      <c r="NM9" s="114"/>
      <c r="NN9" s="115"/>
      <c r="NO9" s="113">
        <v>707617</v>
      </c>
      <c r="NP9" s="114">
        <v>53920</v>
      </c>
      <c r="NQ9" s="114">
        <f t="shared" si="92"/>
        <v>761537</v>
      </c>
      <c r="NR9" s="115"/>
      <c r="NS9" s="113">
        <v>707617</v>
      </c>
      <c r="NT9" s="114">
        <v>53920</v>
      </c>
      <c r="NU9" s="114">
        <f t="shared" si="93"/>
        <v>761537</v>
      </c>
      <c r="NV9" s="115"/>
      <c r="NW9" s="260"/>
      <c r="NX9" s="260"/>
      <c r="NY9" s="260"/>
      <c r="NZ9" s="260"/>
      <c r="OA9" s="113">
        <v>707617</v>
      </c>
      <c r="OB9" s="114">
        <v>53920</v>
      </c>
      <c r="OC9" s="114">
        <f t="shared" si="94"/>
        <v>761537</v>
      </c>
      <c r="OD9" s="115"/>
      <c r="OE9" s="260"/>
      <c r="OF9" s="260"/>
      <c r="OG9" s="260"/>
      <c r="OH9" s="260"/>
      <c r="OI9" s="113">
        <v>707617</v>
      </c>
      <c r="OJ9" s="114">
        <v>53920</v>
      </c>
      <c r="OK9" s="114">
        <v>761537</v>
      </c>
      <c r="OL9" s="115"/>
      <c r="OM9" s="113">
        <v>707617</v>
      </c>
      <c r="ON9" s="114">
        <v>53920</v>
      </c>
      <c r="OO9" s="114">
        <v>761537</v>
      </c>
      <c r="OP9" s="115"/>
      <c r="OQ9" s="113">
        <v>707617</v>
      </c>
      <c r="OR9" s="114">
        <v>53920</v>
      </c>
      <c r="OS9" s="114">
        <v>761537</v>
      </c>
      <c r="OT9" s="115"/>
      <c r="OU9" s="113">
        <v>707617</v>
      </c>
      <c r="OV9" s="114">
        <v>53920</v>
      </c>
      <c r="OW9" s="114">
        <v>761537</v>
      </c>
      <c r="OX9" s="115"/>
      <c r="OY9" s="113">
        <v>707617</v>
      </c>
      <c r="OZ9" s="114">
        <v>53920</v>
      </c>
      <c r="PA9" s="114">
        <v>761537</v>
      </c>
      <c r="PB9" s="115"/>
      <c r="PC9" s="113">
        <v>707617</v>
      </c>
      <c r="PD9" s="114">
        <v>53920</v>
      </c>
      <c r="PE9" s="114">
        <v>761537</v>
      </c>
      <c r="PF9" s="115"/>
      <c r="PG9" s="113"/>
      <c r="PH9" s="114"/>
      <c r="PI9" s="114"/>
      <c r="PJ9" s="115"/>
      <c r="PK9" s="113">
        <v>707617</v>
      </c>
      <c r="PL9" s="114">
        <v>53920</v>
      </c>
      <c r="PM9" s="114">
        <v>761537</v>
      </c>
      <c r="PN9" s="115"/>
      <c r="PP9" s="113">
        <v>707617</v>
      </c>
      <c r="PQ9" s="114">
        <v>53920</v>
      </c>
      <c r="PR9" s="114">
        <v>761537</v>
      </c>
      <c r="PS9" s="115"/>
      <c r="PT9" s="113">
        <v>707617</v>
      </c>
      <c r="PU9" s="114">
        <v>53920</v>
      </c>
      <c r="PV9" s="114">
        <v>761537</v>
      </c>
      <c r="PW9" s="115"/>
      <c r="PX9" s="113">
        <v>707617</v>
      </c>
      <c r="PY9" s="114">
        <v>53920</v>
      </c>
      <c r="PZ9" s="114">
        <v>761537</v>
      </c>
      <c r="QA9" s="115"/>
      <c r="QB9" s="113">
        <v>707617</v>
      </c>
      <c r="QC9" s="114">
        <v>53920</v>
      </c>
      <c r="QD9" s="114">
        <v>761537</v>
      </c>
      <c r="QE9" s="115"/>
      <c r="QF9" s="113">
        <v>707617</v>
      </c>
      <c r="QG9" s="114">
        <v>53920</v>
      </c>
      <c r="QH9" s="114">
        <v>761537</v>
      </c>
      <c r="QI9" s="115"/>
      <c r="QJ9" s="290"/>
      <c r="QK9" s="290"/>
      <c r="QL9" s="290"/>
      <c r="QM9" s="290"/>
      <c r="QN9" s="113">
        <v>707617</v>
      </c>
      <c r="QO9" s="114">
        <v>53920</v>
      </c>
      <c r="QP9" s="114">
        <v>761537</v>
      </c>
      <c r="QQ9" s="115"/>
      <c r="QR9" s="113">
        <v>707617</v>
      </c>
      <c r="QS9" s="114">
        <v>53920</v>
      </c>
      <c r="QT9" s="114">
        <v>761537</v>
      </c>
      <c r="QU9" s="115"/>
      <c r="QV9" s="113">
        <v>707617</v>
      </c>
      <c r="QW9" s="114">
        <v>53920</v>
      </c>
      <c r="QX9" s="114">
        <v>761537</v>
      </c>
      <c r="QY9" s="115"/>
      <c r="QZ9" s="113">
        <v>707617</v>
      </c>
      <c r="RA9" s="114">
        <v>53920</v>
      </c>
      <c r="RB9" s="114">
        <v>761537</v>
      </c>
      <c r="RC9" s="115"/>
      <c r="RD9" s="113">
        <v>707617</v>
      </c>
      <c r="RE9" s="114">
        <v>53920</v>
      </c>
      <c r="RF9" s="114">
        <v>761537</v>
      </c>
      <c r="RG9" s="115"/>
      <c r="RH9" s="113">
        <v>707617</v>
      </c>
      <c r="RI9" s="114">
        <v>53920</v>
      </c>
      <c r="RJ9" s="114">
        <v>761537</v>
      </c>
      <c r="RK9" s="115"/>
      <c r="RL9" s="240"/>
      <c r="RM9" s="240"/>
      <c r="RN9" s="240"/>
      <c r="RO9" s="240"/>
      <c r="RP9" s="113">
        <v>707617</v>
      </c>
      <c r="RQ9" s="114">
        <v>53920</v>
      </c>
      <c r="RR9" s="114">
        <v>761537</v>
      </c>
      <c r="RS9" s="115"/>
      <c r="RT9" s="113">
        <v>707617</v>
      </c>
      <c r="RU9" s="114">
        <v>53920</v>
      </c>
      <c r="RV9" s="114">
        <v>761537</v>
      </c>
      <c r="RW9" s="115"/>
      <c r="RX9" s="113">
        <v>707617</v>
      </c>
      <c r="RY9" s="114">
        <v>53920</v>
      </c>
      <c r="RZ9" s="114">
        <v>761537</v>
      </c>
      <c r="SA9" s="115"/>
    </row>
    <row r="10" spans="1:495" x14ac:dyDescent="0.3">
      <c r="A10" s="291">
        <v>5</v>
      </c>
      <c r="B10" s="25" t="s">
        <v>13</v>
      </c>
      <c r="C10" s="26" t="s">
        <v>48</v>
      </c>
      <c r="D10" s="283"/>
      <c r="E10" s="14">
        <v>1035298</v>
      </c>
      <c r="F10" s="192"/>
      <c r="G10" s="35">
        <v>1056408</v>
      </c>
      <c r="H10" s="43">
        <v>1062668</v>
      </c>
      <c r="I10" s="44">
        <f t="shared" si="0"/>
        <v>6260</v>
      </c>
      <c r="J10" s="43">
        <v>1074188</v>
      </c>
      <c r="K10" s="44">
        <f>J10-H10</f>
        <v>11520</v>
      </c>
      <c r="L10" s="43">
        <v>1093288</v>
      </c>
      <c r="M10" s="44">
        <f>L10-J10</f>
        <v>19100</v>
      </c>
      <c r="N10" s="43">
        <f>569637+529931</f>
        <v>1099568</v>
      </c>
      <c r="O10" s="44">
        <f>N10-L10</f>
        <v>6280</v>
      </c>
      <c r="P10" s="43">
        <f>569637+540751</f>
        <v>1110388</v>
      </c>
      <c r="Q10" s="44">
        <f>P10-N10</f>
        <v>10820</v>
      </c>
      <c r="R10" s="232"/>
      <c r="S10" s="233"/>
      <c r="T10" s="74">
        <f>569637+560241</f>
        <v>1129878</v>
      </c>
      <c r="U10" s="35">
        <f>T10-P10</f>
        <v>19490</v>
      </c>
      <c r="V10" s="43">
        <f>569637+567981</f>
        <v>1137618</v>
      </c>
      <c r="W10" s="44">
        <f>V10-T10</f>
        <v>7740</v>
      </c>
      <c r="X10" s="38">
        <f>569637+583041</f>
        <v>1152678</v>
      </c>
      <c r="Y10" s="13">
        <f>X10-V10</f>
        <v>15060</v>
      </c>
      <c r="Z10" s="13">
        <f>569637+592971</f>
        <v>1162608</v>
      </c>
      <c r="AA10" s="35">
        <f>Z10-X10</f>
        <v>9930</v>
      </c>
      <c r="AB10" s="43">
        <f>569637+607671</f>
        <v>1177308</v>
      </c>
      <c r="AC10" s="44">
        <f>AB10-Z10</f>
        <v>14700</v>
      </c>
      <c r="AD10" s="38">
        <f>569637+617031</f>
        <v>1186668</v>
      </c>
      <c r="AE10" s="13">
        <f>AD10-AB10</f>
        <v>9360</v>
      </c>
      <c r="AF10" s="232"/>
      <c r="AG10" s="233"/>
      <c r="AH10" s="14">
        <f>569637+635811</f>
        <v>1205448</v>
      </c>
      <c r="AI10" s="13">
        <f>AH10-AD10</f>
        <v>18780</v>
      </c>
      <c r="AJ10" s="14">
        <f>569637+643211</f>
        <v>1212848</v>
      </c>
      <c r="AK10" s="13">
        <f>AJ10-AH10</f>
        <v>7400</v>
      </c>
      <c r="AL10" s="232"/>
      <c r="AM10" s="233"/>
      <c r="AN10" s="232"/>
      <c r="AO10" s="233"/>
      <c r="AP10" s="14">
        <f>569637+681011</f>
        <v>1250648</v>
      </c>
      <c r="AQ10" s="13"/>
      <c r="AR10" s="14">
        <f>569637+695291</f>
        <v>1264928</v>
      </c>
      <c r="AS10" s="13">
        <f>AR10-AP10</f>
        <v>14280</v>
      </c>
      <c r="AT10" s="285"/>
      <c r="AU10" s="285"/>
      <c r="AV10" s="14">
        <f>569637+709151</f>
        <v>1278788</v>
      </c>
      <c r="AW10" s="13">
        <f>AV10-AR10</f>
        <v>13860</v>
      </c>
      <c r="AX10" s="14">
        <f>569637+719191</f>
        <v>1288828</v>
      </c>
      <c r="AY10" s="13">
        <f>AX10-AV10</f>
        <v>10040</v>
      </c>
      <c r="AZ10" s="14">
        <f>569637+728751</f>
        <v>1298388</v>
      </c>
      <c r="BA10" s="13">
        <f>AZ10-AX10</f>
        <v>9560</v>
      </c>
      <c r="BB10" s="14">
        <f>569637+4176</f>
        <v>573813</v>
      </c>
      <c r="BC10" s="13">
        <f>BB10-AZ10</f>
        <v>-724575</v>
      </c>
      <c r="BD10" s="14">
        <f>569637+14516</f>
        <v>584153</v>
      </c>
      <c r="BE10" s="13">
        <f>BD10-BB10</f>
        <v>10340</v>
      </c>
      <c r="BF10" s="14">
        <f>569637+25086</f>
        <v>594723</v>
      </c>
      <c r="BG10" s="13">
        <f>BF10-BD10</f>
        <v>10570</v>
      </c>
      <c r="BH10" s="269"/>
      <c r="BI10" s="269"/>
      <c r="BJ10" s="18"/>
      <c r="BK10" s="118">
        <v>569637</v>
      </c>
      <c r="BL10" s="119">
        <v>43546</v>
      </c>
      <c r="BM10" s="119">
        <f>BK10+BL10</f>
        <v>613183</v>
      </c>
      <c r="BN10" s="120"/>
      <c r="BO10" s="118">
        <v>569637</v>
      </c>
      <c r="BP10" s="119">
        <v>55616</v>
      </c>
      <c r="BQ10" s="119">
        <f>BO10+BP10</f>
        <v>625253</v>
      </c>
      <c r="BR10" s="120">
        <f>BQ10-BM10</f>
        <v>12070</v>
      </c>
      <c r="BS10" s="118">
        <v>569637</v>
      </c>
      <c r="BT10" s="119">
        <v>66106</v>
      </c>
      <c r="BU10" s="119">
        <f>BS10+BT10</f>
        <v>635743</v>
      </c>
      <c r="BV10" s="120">
        <f>BU10-BQ10</f>
        <v>10490</v>
      </c>
      <c r="BW10" s="118">
        <v>569637</v>
      </c>
      <c r="BX10" s="119">
        <v>81006</v>
      </c>
      <c r="BY10" s="119">
        <f t="shared" si="1"/>
        <v>650643</v>
      </c>
      <c r="BZ10" s="120">
        <f>BY10-BU10</f>
        <v>14900</v>
      </c>
      <c r="CA10" s="118">
        <v>569637</v>
      </c>
      <c r="CB10" s="119">
        <v>91906</v>
      </c>
      <c r="CC10" s="119">
        <f t="shared" ref="CC10" si="126">CA10+CB10</f>
        <v>661543</v>
      </c>
      <c r="CD10" s="120">
        <f t="shared" si="3"/>
        <v>10900</v>
      </c>
      <c r="CE10" s="118">
        <v>569637</v>
      </c>
      <c r="CF10" s="119">
        <v>104766</v>
      </c>
      <c r="CG10" s="119">
        <f t="shared" si="4"/>
        <v>674403</v>
      </c>
      <c r="CH10" s="120">
        <f t="shared" si="5"/>
        <v>12860</v>
      </c>
      <c r="CI10" s="254"/>
      <c r="CJ10" s="240"/>
      <c r="CK10" s="240"/>
      <c r="CL10" s="255"/>
      <c r="CM10" s="118">
        <v>569637</v>
      </c>
      <c r="CN10" s="119">
        <v>115856</v>
      </c>
      <c r="CO10" s="119">
        <f t="shared" si="125"/>
        <v>685493</v>
      </c>
      <c r="CP10" s="120">
        <f t="shared" si="7"/>
        <v>11090</v>
      </c>
      <c r="CQ10" s="118">
        <v>569637</v>
      </c>
      <c r="CR10" s="119">
        <v>127166</v>
      </c>
      <c r="CS10" s="119">
        <f>CQ10+CR10</f>
        <v>696803</v>
      </c>
      <c r="CT10" s="121">
        <f t="shared" si="9"/>
        <v>11310</v>
      </c>
      <c r="CU10" s="118">
        <v>569637</v>
      </c>
      <c r="CV10" s="119">
        <v>138426</v>
      </c>
      <c r="CW10" s="119">
        <f>CU10+CV10</f>
        <v>708063</v>
      </c>
      <c r="CX10" s="121">
        <f t="shared" si="11"/>
        <v>11260</v>
      </c>
      <c r="CY10" s="118">
        <v>569637</v>
      </c>
      <c r="CZ10" s="119">
        <v>154296</v>
      </c>
      <c r="DA10" s="119">
        <f>CY10+CZ10</f>
        <v>723933</v>
      </c>
      <c r="DB10" s="121">
        <f t="shared" si="13"/>
        <v>15870</v>
      </c>
      <c r="DC10" s="118">
        <v>569637</v>
      </c>
      <c r="DD10" s="119">
        <v>160246</v>
      </c>
      <c r="DE10" s="119">
        <f>DC10+DD10</f>
        <v>729883</v>
      </c>
      <c r="DF10" s="121">
        <f t="shared" si="15"/>
        <v>5950</v>
      </c>
      <c r="DG10" s="254"/>
      <c r="DH10" s="240"/>
      <c r="DI10" s="240"/>
      <c r="DJ10" s="240"/>
      <c r="DK10" s="254"/>
      <c r="DL10" s="240"/>
      <c r="DM10" s="240"/>
      <c r="DN10" s="240"/>
      <c r="DO10" s="113">
        <v>569637</v>
      </c>
      <c r="DP10" s="114">
        <v>8881</v>
      </c>
      <c r="DQ10" s="114">
        <f t="shared" ref="DQ10:DQ14" si="127">DO10+DP10</f>
        <v>578518</v>
      </c>
      <c r="DR10" s="115"/>
      <c r="DS10" s="113">
        <v>569637</v>
      </c>
      <c r="DT10" s="114">
        <v>26811</v>
      </c>
      <c r="DU10" s="114">
        <f t="shared" si="103"/>
        <v>596448</v>
      </c>
      <c r="DV10" s="115">
        <f t="shared" si="18"/>
        <v>17930</v>
      </c>
      <c r="DW10" s="113">
        <v>569637</v>
      </c>
      <c r="DX10" s="114">
        <v>33511</v>
      </c>
      <c r="DY10" s="114">
        <f t="shared" si="104"/>
        <v>603148</v>
      </c>
      <c r="DZ10" s="115">
        <f t="shared" si="63"/>
        <v>6700</v>
      </c>
      <c r="EA10" s="113">
        <v>569637</v>
      </c>
      <c r="EB10" s="114">
        <v>33511</v>
      </c>
      <c r="EC10" s="114">
        <f t="shared" si="105"/>
        <v>603148</v>
      </c>
      <c r="ED10" s="115">
        <f t="shared" si="64"/>
        <v>0</v>
      </c>
      <c r="EE10" s="113">
        <v>569637</v>
      </c>
      <c r="EF10" s="114">
        <v>33511</v>
      </c>
      <c r="EG10" s="114">
        <f t="shared" si="106"/>
        <v>603148</v>
      </c>
      <c r="EH10" s="115">
        <f t="shared" si="65"/>
        <v>0</v>
      </c>
      <c r="EI10" s="113">
        <v>569637</v>
      </c>
      <c r="EJ10" s="114">
        <v>33511</v>
      </c>
      <c r="EK10" s="114">
        <f t="shared" si="107"/>
        <v>603148</v>
      </c>
      <c r="EL10" s="115">
        <f t="shared" si="66"/>
        <v>0</v>
      </c>
      <c r="EM10" s="271"/>
      <c r="EN10" s="271"/>
      <c r="EO10" s="113">
        <v>569637</v>
      </c>
      <c r="EP10" s="114">
        <v>33511</v>
      </c>
      <c r="EQ10" s="114">
        <f t="shared" si="108"/>
        <v>603148</v>
      </c>
      <c r="ER10" s="115">
        <f t="shared" si="24"/>
        <v>0</v>
      </c>
      <c r="ES10" s="113">
        <v>569637</v>
      </c>
      <c r="ET10" s="114">
        <v>33511</v>
      </c>
      <c r="EU10" s="114">
        <f t="shared" si="109"/>
        <v>603148</v>
      </c>
      <c r="EV10" s="115">
        <f>EU10-EQ10</f>
        <v>0</v>
      </c>
      <c r="EW10" s="260"/>
      <c r="EX10" s="260"/>
      <c r="EY10" s="260"/>
      <c r="EZ10" s="260"/>
      <c r="FA10" s="113">
        <v>569637</v>
      </c>
      <c r="FB10" s="114">
        <v>33511</v>
      </c>
      <c r="FC10" s="114">
        <f t="shared" si="110"/>
        <v>603148</v>
      </c>
      <c r="FD10" s="115"/>
      <c r="FE10" s="113">
        <v>569637</v>
      </c>
      <c r="FF10" s="114">
        <v>33511</v>
      </c>
      <c r="FG10" s="114">
        <f t="shared" si="111"/>
        <v>603148</v>
      </c>
      <c r="FH10" s="115">
        <f t="shared" si="28"/>
        <v>0</v>
      </c>
      <c r="FI10" s="113">
        <v>569637</v>
      </c>
      <c r="FJ10" s="114">
        <v>33511</v>
      </c>
      <c r="FK10" s="114">
        <f t="shared" si="112"/>
        <v>603148</v>
      </c>
      <c r="FL10" s="115">
        <f t="shared" si="30"/>
        <v>0</v>
      </c>
      <c r="FM10" s="260"/>
      <c r="FN10" s="260"/>
      <c r="FO10" s="260"/>
      <c r="FP10" s="260"/>
      <c r="FQ10" s="14"/>
      <c r="FR10" s="13"/>
      <c r="FS10" s="14"/>
      <c r="FT10" s="13"/>
      <c r="FU10" s="113">
        <v>569637</v>
      </c>
      <c r="FV10" s="114">
        <v>33511</v>
      </c>
      <c r="FW10" s="114">
        <f t="shared" si="113"/>
        <v>603148</v>
      </c>
      <c r="FX10" s="13"/>
      <c r="FZ10" s="118"/>
      <c r="GA10" s="119"/>
      <c r="GB10" s="119"/>
      <c r="GC10" s="120"/>
      <c r="GD10" s="260"/>
      <c r="GE10" s="260"/>
      <c r="GF10" s="260"/>
      <c r="GG10" s="260"/>
      <c r="GH10" s="113">
        <v>663497</v>
      </c>
      <c r="GI10" s="114">
        <v>33511</v>
      </c>
      <c r="GJ10" s="114">
        <f t="shared" si="114"/>
        <v>697008</v>
      </c>
      <c r="GK10" s="120"/>
      <c r="GL10" s="113">
        <v>663497</v>
      </c>
      <c r="GM10" s="114">
        <v>33511</v>
      </c>
      <c r="GN10" s="114">
        <f t="shared" si="115"/>
        <v>697008</v>
      </c>
      <c r="GO10" s="115">
        <f t="shared" si="116"/>
        <v>0</v>
      </c>
      <c r="GP10" s="260"/>
      <c r="GQ10" s="260"/>
      <c r="GR10" s="260"/>
      <c r="GS10" s="260"/>
      <c r="GT10" s="113">
        <v>569637</v>
      </c>
      <c r="GU10" s="114">
        <v>33511</v>
      </c>
      <c r="GV10" s="114">
        <f t="shared" si="117"/>
        <v>603148</v>
      </c>
      <c r="GW10" s="115"/>
      <c r="GX10" s="113">
        <v>569637</v>
      </c>
      <c r="GY10" s="114">
        <v>33511</v>
      </c>
      <c r="GZ10" s="114">
        <f t="shared" si="35"/>
        <v>603148</v>
      </c>
      <c r="HA10" s="115">
        <f t="shared" si="69"/>
        <v>0</v>
      </c>
      <c r="HB10" s="113">
        <v>569637</v>
      </c>
      <c r="HC10" s="114">
        <v>33511</v>
      </c>
      <c r="HD10" s="114">
        <f t="shared" si="36"/>
        <v>603148</v>
      </c>
      <c r="HE10" s="115">
        <f t="shared" si="70"/>
        <v>0</v>
      </c>
      <c r="HF10" s="113">
        <v>569637</v>
      </c>
      <c r="HG10" s="114">
        <v>33511</v>
      </c>
      <c r="HH10" s="114">
        <f t="shared" si="37"/>
        <v>603148</v>
      </c>
      <c r="HI10" s="115">
        <f t="shared" si="71"/>
        <v>0</v>
      </c>
      <c r="HJ10" s="113">
        <v>569637</v>
      </c>
      <c r="HK10" s="114">
        <v>33511</v>
      </c>
      <c r="HL10" s="114">
        <f t="shared" si="38"/>
        <v>603148</v>
      </c>
      <c r="HM10" s="115">
        <f t="shared" si="72"/>
        <v>0</v>
      </c>
      <c r="HN10" s="113">
        <v>569637</v>
      </c>
      <c r="HO10" s="114">
        <v>33511</v>
      </c>
      <c r="HP10" s="114">
        <f t="shared" si="39"/>
        <v>603148</v>
      </c>
      <c r="HQ10" s="115">
        <f t="shared" si="73"/>
        <v>0</v>
      </c>
      <c r="HR10" s="254"/>
      <c r="HS10" s="240"/>
      <c r="HT10" s="240"/>
      <c r="HU10" s="255"/>
      <c r="HV10" s="113">
        <v>666586</v>
      </c>
      <c r="HW10" s="114">
        <v>44562</v>
      </c>
      <c r="HX10" s="114">
        <f t="shared" si="40"/>
        <v>711148</v>
      </c>
      <c r="HY10" s="115"/>
      <c r="HZ10" s="113">
        <v>569637</v>
      </c>
      <c r="IA10" s="114">
        <v>33511</v>
      </c>
      <c r="IB10" s="114">
        <f t="shared" si="41"/>
        <v>603148</v>
      </c>
      <c r="IC10" s="115">
        <f t="shared" si="74"/>
        <v>-108000</v>
      </c>
      <c r="ID10" s="113">
        <v>569637</v>
      </c>
      <c r="IE10" s="114">
        <v>33511</v>
      </c>
      <c r="IF10" s="114">
        <f t="shared" si="42"/>
        <v>603148</v>
      </c>
      <c r="IG10" s="115">
        <f t="shared" si="75"/>
        <v>0</v>
      </c>
      <c r="IH10" s="113">
        <v>569637</v>
      </c>
      <c r="II10" s="114">
        <v>33511</v>
      </c>
      <c r="IJ10" s="114">
        <f t="shared" si="43"/>
        <v>603148</v>
      </c>
      <c r="IK10" s="115">
        <f t="shared" si="76"/>
        <v>0</v>
      </c>
      <c r="IL10" s="113">
        <v>489791</v>
      </c>
      <c r="IM10" s="114">
        <v>14198</v>
      </c>
      <c r="IN10" s="114">
        <f t="shared" si="44"/>
        <v>503989</v>
      </c>
      <c r="IO10" s="115">
        <f t="shared" si="77"/>
        <v>-99159</v>
      </c>
      <c r="IP10" s="254"/>
      <c r="IQ10" s="240"/>
      <c r="IR10" s="240"/>
      <c r="IS10" s="255"/>
      <c r="IT10" s="254"/>
      <c r="IU10" s="240"/>
      <c r="IV10" s="240"/>
      <c r="IW10" s="255"/>
      <c r="IX10" s="113">
        <v>569637</v>
      </c>
      <c r="IY10" s="114">
        <v>33511</v>
      </c>
      <c r="IZ10" s="114">
        <f t="shared" si="45"/>
        <v>603148</v>
      </c>
      <c r="JA10" s="115"/>
      <c r="JB10" s="113">
        <v>569637</v>
      </c>
      <c r="JC10" s="114">
        <v>33511</v>
      </c>
      <c r="JD10" s="114">
        <f t="shared" si="46"/>
        <v>603148</v>
      </c>
      <c r="JE10" s="115">
        <f t="shared" si="78"/>
        <v>0</v>
      </c>
      <c r="JF10" s="113">
        <v>569637</v>
      </c>
      <c r="JG10" s="114">
        <v>33511</v>
      </c>
      <c r="JH10" s="114">
        <f t="shared" si="47"/>
        <v>603148</v>
      </c>
      <c r="JI10" s="115">
        <f t="shared" si="79"/>
        <v>0</v>
      </c>
      <c r="JJ10" s="113">
        <v>569637</v>
      </c>
      <c r="JK10" s="114">
        <v>33511</v>
      </c>
      <c r="JL10" s="114">
        <f t="shared" si="48"/>
        <v>603148</v>
      </c>
      <c r="JM10" s="115">
        <f t="shared" si="80"/>
        <v>0</v>
      </c>
      <c r="JN10" s="113">
        <v>569637</v>
      </c>
      <c r="JO10" s="114">
        <v>33511</v>
      </c>
      <c r="JP10" s="114">
        <f t="shared" si="49"/>
        <v>603148</v>
      </c>
      <c r="JQ10" s="115">
        <f t="shared" si="81"/>
        <v>0</v>
      </c>
      <c r="JR10" s="113"/>
      <c r="JS10" s="114"/>
      <c r="JT10" s="114"/>
      <c r="JU10" s="115"/>
      <c r="JV10" s="254"/>
      <c r="JW10" s="240"/>
      <c r="JX10" s="240"/>
      <c r="JY10" s="255"/>
      <c r="JZ10" s="113">
        <v>623708</v>
      </c>
      <c r="KA10" s="114">
        <v>182111</v>
      </c>
      <c r="KB10" s="114">
        <f t="shared" si="50"/>
        <v>805819</v>
      </c>
      <c r="KC10" s="115">
        <f t="shared" si="82"/>
        <v>805819</v>
      </c>
      <c r="KD10" s="113">
        <v>623708</v>
      </c>
      <c r="KE10" s="114">
        <v>182111</v>
      </c>
      <c r="KF10" s="114">
        <f t="shared" si="51"/>
        <v>805819</v>
      </c>
      <c r="KG10" s="115">
        <f t="shared" si="83"/>
        <v>0</v>
      </c>
      <c r="KH10" s="113">
        <v>623708</v>
      </c>
      <c r="KI10" s="114">
        <v>182111</v>
      </c>
      <c r="KJ10" s="114">
        <f t="shared" si="52"/>
        <v>805819</v>
      </c>
      <c r="KK10" s="115">
        <f t="shared" si="84"/>
        <v>0</v>
      </c>
      <c r="KL10" s="113">
        <v>623708</v>
      </c>
      <c r="KM10" s="114">
        <v>182111</v>
      </c>
      <c r="KN10" s="114">
        <f t="shared" si="53"/>
        <v>805819</v>
      </c>
      <c r="KO10" s="115">
        <f t="shared" si="85"/>
        <v>0</v>
      </c>
      <c r="KP10" s="113">
        <v>623708</v>
      </c>
      <c r="KQ10" s="114">
        <v>182111</v>
      </c>
      <c r="KR10" s="114">
        <f t="shared" si="54"/>
        <v>805819</v>
      </c>
      <c r="KS10" s="115">
        <f t="shared" si="86"/>
        <v>0</v>
      </c>
      <c r="KU10" s="113">
        <v>623708</v>
      </c>
      <c r="KV10" s="114">
        <v>182111</v>
      </c>
      <c r="KW10" s="114">
        <f t="shared" si="55"/>
        <v>805819</v>
      </c>
      <c r="KX10" s="115">
        <f t="shared" si="87"/>
        <v>805819</v>
      </c>
      <c r="KY10" s="260"/>
      <c r="KZ10" s="260"/>
      <c r="LA10" s="260"/>
      <c r="LB10" s="260"/>
      <c r="LC10" s="260"/>
      <c r="LD10" s="260"/>
      <c r="LE10" s="260"/>
      <c r="LF10" s="260"/>
      <c r="LG10" s="113">
        <v>623708</v>
      </c>
      <c r="LH10" s="114">
        <v>182111</v>
      </c>
      <c r="LI10" s="114">
        <f t="shared" si="56"/>
        <v>805819</v>
      </c>
      <c r="LJ10" s="115"/>
      <c r="LK10" s="113"/>
      <c r="LL10" s="114"/>
      <c r="LM10" s="114"/>
      <c r="LN10" s="115"/>
      <c r="LO10" s="260"/>
      <c r="LP10" s="260"/>
      <c r="LQ10" s="260"/>
      <c r="LR10" s="260"/>
      <c r="LS10" s="260"/>
      <c r="LT10" s="260"/>
      <c r="LU10" s="260"/>
      <c r="LV10" s="260"/>
      <c r="LW10" s="113">
        <v>623708</v>
      </c>
      <c r="LX10" s="114">
        <v>182111</v>
      </c>
      <c r="LY10" s="114">
        <f t="shared" si="118"/>
        <v>805819</v>
      </c>
      <c r="LZ10" s="115"/>
      <c r="MA10" s="260"/>
      <c r="MB10" s="260"/>
      <c r="MC10" s="260"/>
      <c r="MD10" s="260"/>
      <c r="ME10" s="113">
        <v>623708</v>
      </c>
      <c r="MF10" s="114">
        <v>182111</v>
      </c>
      <c r="MG10" s="114">
        <f t="shared" si="119"/>
        <v>805819</v>
      </c>
      <c r="MH10" s="115"/>
      <c r="MI10" s="113">
        <v>623708</v>
      </c>
      <c r="MJ10" s="114">
        <v>182111</v>
      </c>
      <c r="MK10" s="114">
        <f t="shared" si="120"/>
        <v>805819</v>
      </c>
      <c r="ML10" s="115">
        <f t="shared" si="88"/>
        <v>0</v>
      </c>
      <c r="MM10" s="113">
        <v>623708</v>
      </c>
      <c r="MN10" s="114">
        <v>182111</v>
      </c>
      <c r="MO10" s="114">
        <f t="shared" si="121"/>
        <v>805819</v>
      </c>
      <c r="MP10" s="115">
        <f t="shared" si="89"/>
        <v>0</v>
      </c>
      <c r="MQ10" s="113">
        <v>623708</v>
      </c>
      <c r="MR10" s="114">
        <v>182111</v>
      </c>
      <c r="MS10" s="114">
        <f t="shared" si="122"/>
        <v>805819</v>
      </c>
      <c r="MT10" s="115">
        <f t="shared" si="90"/>
        <v>0</v>
      </c>
      <c r="MU10" s="113">
        <v>623708</v>
      </c>
      <c r="MV10" s="114">
        <v>182111</v>
      </c>
      <c r="MW10" s="114">
        <f t="shared" si="123"/>
        <v>805819</v>
      </c>
      <c r="MX10" s="115">
        <f t="shared" si="91"/>
        <v>0</v>
      </c>
      <c r="MY10" s="260"/>
      <c r="MZ10" s="260"/>
      <c r="NA10" s="260"/>
      <c r="NB10" s="260"/>
      <c r="NC10" s="260"/>
      <c r="ND10" s="260"/>
      <c r="NE10" s="260"/>
      <c r="NF10" s="260"/>
      <c r="NG10" s="113">
        <v>623708</v>
      </c>
      <c r="NH10" s="114">
        <v>182111</v>
      </c>
      <c r="NI10" s="114"/>
      <c r="NJ10" s="115"/>
      <c r="NK10" s="113">
        <v>623708</v>
      </c>
      <c r="NL10" s="114">
        <v>182111</v>
      </c>
      <c r="NM10" s="114"/>
      <c r="NN10" s="115"/>
      <c r="NO10" s="113">
        <v>623708</v>
      </c>
      <c r="NP10" s="114">
        <v>182111</v>
      </c>
      <c r="NQ10" s="114">
        <f t="shared" si="92"/>
        <v>805819</v>
      </c>
      <c r="NR10" s="115"/>
      <c r="NS10" s="113">
        <v>623708</v>
      </c>
      <c r="NT10" s="114">
        <v>182111</v>
      </c>
      <c r="NU10" s="114">
        <f t="shared" si="93"/>
        <v>805819</v>
      </c>
      <c r="NV10" s="115"/>
      <c r="NW10" s="260"/>
      <c r="NX10" s="260"/>
      <c r="NY10" s="260"/>
      <c r="NZ10" s="260"/>
      <c r="OA10" s="113">
        <v>623708</v>
      </c>
      <c r="OB10" s="114">
        <v>182111</v>
      </c>
      <c r="OC10" s="114">
        <f t="shared" si="94"/>
        <v>805819</v>
      </c>
      <c r="OD10" s="115"/>
      <c r="OE10" s="260"/>
      <c r="OF10" s="260"/>
      <c r="OG10" s="260"/>
      <c r="OH10" s="260"/>
      <c r="OI10" s="113">
        <v>623708</v>
      </c>
      <c r="OJ10" s="114">
        <v>182111</v>
      </c>
      <c r="OK10" s="114">
        <v>805819</v>
      </c>
      <c r="OL10" s="115"/>
      <c r="OM10" s="113">
        <v>623708</v>
      </c>
      <c r="ON10" s="114">
        <v>182111</v>
      </c>
      <c r="OO10" s="114">
        <v>805819</v>
      </c>
      <c r="OP10" s="115"/>
      <c r="OQ10" s="113">
        <v>623708</v>
      </c>
      <c r="OR10" s="114">
        <v>182111</v>
      </c>
      <c r="OS10" s="114">
        <v>805819</v>
      </c>
      <c r="OT10" s="115"/>
      <c r="OU10" s="113">
        <v>629689</v>
      </c>
      <c r="OV10" s="114">
        <v>182111</v>
      </c>
      <c r="OW10" s="114">
        <v>811800</v>
      </c>
      <c r="OX10" s="115"/>
      <c r="OY10" s="113">
        <v>629689</v>
      </c>
      <c r="OZ10" s="114">
        <v>182111</v>
      </c>
      <c r="PA10" s="114">
        <v>811800</v>
      </c>
      <c r="PB10" s="115"/>
      <c r="PC10" s="113">
        <v>629689</v>
      </c>
      <c r="PD10" s="114">
        <v>182111</v>
      </c>
      <c r="PE10" s="114">
        <v>811800</v>
      </c>
      <c r="PF10" s="115"/>
      <c r="PG10" s="113"/>
      <c r="PH10" s="114"/>
      <c r="PI10" s="114"/>
      <c r="PJ10" s="115"/>
      <c r="PK10" s="113">
        <v>629689</v>
      </c>
      <c r="PL10" s="114">
        <v>182111</v>
      </c>
      <c r="PM10" s="114">
        <v>811800</v>
      </c>
      <c r="PN10" s="115"/>
      <c r="PP10" s="113">
        <v>629689</v>
      </c>
      <c r="PQ10" s="114">
        <v>182111</v>
      </c>
      <c r="PR10" s="114">
        <v>811800</v>
      </c>
      <c r="PS10" s="115"/>
      <c r="PT10" s="113">
        <v>629689</v>
      </c>
      <c r="PU10" s="114">
        <v>182111</v>
      </c>
      <c r="PV10" s="114">
        <v>811800</v>
      </c>
      <c r="PW10" s="115"/>
      <c r="PX10" s="113">
        <v>629689</v>
      </c>
      <c r="PY10" s="114">
        <v>182111</v>
      </c>
      <c r="PZ10" s="114">
        <v>811800</v>
      </c>
      <c r="QA10" s="115"/>
      <c r="QB10" s="113">
        <v>629689</v>
      </c>
      <c r="QC10" s="114">
        <v>182111</v>
      </c>
      <c r="QD10" s="114">
        <v>811800</v>
      </c>
      <c r="QE10" s="115"/>
      <c r="QF10" s="113">
        <v>629689</v>
      </c>
      <c r="QG10" s="114">
        <v>182111</v>
      </c>
      <c r="QH10" s="114">
        <v>811800</v>
      </c>
      <c r="QI10" s="115"/>
      <c r="QJ10" s="290"/>
      <c r="QK10" s="290"/>
      <c r="QL10" s="290"/>
      <c r="QM10" s="290"/>
      <c r="QN10" s="113">
        <v>629689</v>
      </c>
      <c r="QO10" s="114">
        <v>71301</v>
      </c>
      <c r="QP10" s="114">
        <v>700990</v>
      </c>
      <c r="QQ10" s="115"/>
      <c r="QR10" s="113">
        <v>629689</v>
      </c>
      <c r="QS10" s="114">
        <v>71301</v>
      </c>
      <c r="QT10" s="114">
        <v>700990</v>
      </c>
      <c r="QU10" s="115"/>
      <c r="QV10" s="113">
        <v>629689</v>
      </c>
      <c r="QW10" s="114">
        <v>71301</v>
      </c>
      <c r="QX10" s="114">
        <v>700990</v>
      </c>
      <c r="QY10" s="115"/>
      <c r="QZ10" s="113">
        <v>629689</v>
      </c>
      <c r="RA10" s="114">
        <v>71301</v>
      </c>
      <c r="RB10" s="114">
        <v>700990</v>
      </c>
      <c r="RC10" s="115"/>
      <c r="RD10" s="113">
        <v>629689</v>
      </c>
      <c r="RE10" s="114">
        <v>71301</v>
      </c>
      <c r="RF10" s="114">
        <v>700990</v>
      </c>
      <c r="RG10" s="115"/>
      <c r="RH10" s="113">
        <v>629689</v>
      </c>
      <c r="RI10" s="114">
        <v>71301</v>
      </c>
      <c r="RJ10" s="114">
        <v>700990</v>
      </c>
      <c r="RK10" s="115"/>
      <c r="RL10" s="240"/>
      <c r="RM10" s="240"/>
      <c r="RN10" s="240"/>
      <c r="RO10" s="240"/>
      <c r="RP10" s="113">
        <v>629689</v>
      </c>
      <c r="RQ10" s="114">
        <v>71301</v>
      </c>
      <c r="RR10" s="114">
        <v>700990</v>
      </c>
      <c r="RS10" s="115"/>
      <c r="RT10" s="113">
        <v>629689</v>
      </c>
      <c r="RU10" s="114">
        <v>71301</v>
      </c>
      <c r="RV10" s="114">
        <v>700990</v>
      </c>
      <c r="RW10" s="115"/>
      <c r="RX10" s="113">
        <v>629689</v>
      </c>
      <c r="RY10" s="114">
        <v>71301</v>
      </c>
      <c r="RZ10" s="114">
        <v>700990</v>
      </c>
      <c r="SA10" s="115"/>
    </row>
    <row r="11" spans="1:495" s="153" customFormat="1" x14ac:dyDescent="0.3">
      <c r="A11" s="291">
        <v>6</v>
      </c>
      <c r="B11" s="150" t="s">
        <v>14</v>
      </c>
      <c r="C11" s="26" t="s">
        <v>49</v>
      </c>
      <c r="D11" s="283"/>
      <c r="E11" s="27">
        <v>485242</v>
      </c>
      <c r="F11" s="192"/>
      <c r="G11" s="36">
        <v>509055</v>
      </c>
      <c r="H11" s="46">
        <v>483143</v>
      </c>
      <c r="I11" s="47">
        <f t="shared" si="0"/>
        <v>-25912</v>
      </c>
      <c r="J11" s="46">
        <v>483143</v>
      </c>
      <c r="K11" s="47">
        <f t="shared" si="95"/>
        <v>0</v>
      </c>
      <c r="L11" s="46">
        <v>491527</v>
      </c>
      <c r="M11" s="47">
        <f>L11-J11</f>
        <v>8384</v>
      </c>
      <c r="N11" s="46">
        <f>478619+6021</f>
        <v>484640</v>
      </c>
      <c r="O11" s="47">
        <f>N11-L11</f>
        <v>-6887</v>
      </c>
      <c r="P11" s="46">
        <f>478619+15618</f>
        <v>494237</v>
      </c>
      <c r="Q11" s="47">
        <f>P11-N11</f>
        <v>9597</v>
      </c>
      <c r="R11" s="232"/>
      <c r="S11" s="233"/>
      <c r="T11" s="46">
        <f>478619+2788</f>
        <v>481407</v>
      </c>
      <c r="U11" s="36">
        <f>T11-P11</f>
        <v>-12830</v>
      </c>
      <c r="V11" s="46">
        <f>478619+86839</f>
        <v>565458</v>
      </c>
      <c r="W11" s="47">
        <f>V11-T11</f>
        <v>84051</v>
      </c>
      <c r="X11" s="39">
        <f>478619+95523</f>
        <v>574142</v>
      </c>
      <c r="Y11" s="32">
        <f>X11-V11</f>
        <v>8684</v>
      </c>
      <c r="Z11" s="32">
        <f>478619+20788</f>
        <v>499407</v>
      </c>
      <c r="AA11" s="36">
        <f>Z11-X11</f>
        <v>-74735</v>
      </c>
      <c r="AB11" s="46">
        <f>478619+59312</f>
        <v>537931</v>
      </c>
      <c r="AC11" s="47">
        <f>AB11-Z11</f>
        <v>38524</v>
      </c>
      <c r="AD11" s="39">
        <f>478619+7286</f>
        <v>485905</v>
      </c>
      <c r="AE11" s="32">
        <f>AD11-AB11</f>
        <v>-52026</v>
      </c>
      <c r="AF11" s="232"/>
      <c r="AG11" s="233"/>
      <c r="AH11" s="27">
        <f>478619+11734</f>
        <v>490353</v>
      </c>
      <c r="AI11" s="32">
        <f>AH11-AD11</f>
        <v>4448</v>
      </c>
      <c r="AJ11" s="27">
        <f>478619+6021</f>
        <v>484640</v>
      </c>
      <c r="AK11" s="32">
        <f>AJ11-AH11</f>
        <v>-5713</v>
      </c>
      <c r="AL11" s="232"/>
      <c r="AM11" s="233"/>
      <c r="AN11" s="232"/>
      <c r="AO11" s="233"/>
      <c r="AP11" s="27">
        <f>478619+11734</f>
        <v>490353</v>
      </c>
      <c r="AQ11" s="32"/>
      <c r="AR11" s="27">
        <f>478619+204763</f>
        <v>683382</v>
      </c>
      <c r="AS11" s="32">
        <f>AR11-AP11</f>
        <v>193029</v>
      </c>
      <c r="AT11" s="285"/>
      <c r="AU11" s="285"/>
      <c r="AV11" s="27">
        <f>478619+78944</f>
        <v>557563</v>
      </c>
      <c r="AW11" s="32">
        <f>AV11-AR11</f>
        <v>-125819</v>
      </c>
      <c r="AX11" s="27">
        <f>478619+86839</f>
        <v>565458</v>
      </c>
      <c r="AY11" s="32">
        <f>AX11-AV11</f>
        <v>7895</v>
      </c>
      <c r="AZ11" s="27">
        <f>478619+22867</f>
        <v>501486</v>
      </c>
      <c r="BA11" s="32">
        <f>AZ11-AX11</f>
        <v>-63972</v>
      </c>
      <c r="BB11" s="27">
        <f>478619+22867</f>
        <v>501486</v>
      </c>
      <c r="BC11" s="32">
        <f>BB11-AZ11</f>
        <v>0</v>
      </c>
      <c r="BD11" s="27">
        <f>478619+22867</f>
        <v>501486</v>
      </c>
      <c r="BE11" s="32">
        <f>BD11-BB11</f>
        <v>0</v>
      </c>
      <c r="BF11" s="27">
        <f>478619+22867</f>
        <v>501486</v>
      </c>
      <c r="BG11" s="32">
        <f>BF11-BD11</f>
        <v>0</v>
      </c>
      <c r="BH11" s="269"/>
      <c r="BI11" s="269"/>
      <c r="BJ11" s="155"/>
      <c r="BK11" s="113">
        <v>478619</v>
      </c>
      <c r="BL11" s="114">
        <v>17180</v>
      </c>
      <c r="BM11" s="114">
        <f>BK11+BL11</f>
        <v>495799</v>
      </c>
      <c r="BN11" s="115"/>
      <c r="BO11" s="113">
        <v>478619</v>
      </c>
      <c r="BP11" s="114">
        <v>22867</v>
      </c>
      <c r="BQ11" s="114">
        <f>BO11+BP11</f>
        <v>501486</v>
      </c>
      <c r="BR11" s="115">
        <f>BQ11-BM11</f>
        <v>5687</v>
      </c>
      <c r="BS11" s="113">
        <v>478619</v>
      </c>
      <c r="BT11" s="114">
        <v>8014</v>
      </c>
      <c r="BU11" s="114">
        <f>BS11+BT11</f>
        <v>486633</v>
      </c>
      <c r="BV11" s="115">
        <f>BU11-BQ11</f>
        <v>-14853</v>
      </c>
      <c r="BW11" s="113">
        <v>478619</v>
      </c>
      <c r="BX11" s="114">
        <v>17180</v>
      </c>
      <c r="BY11" s="114">
        <f t="shared" si="1"/>
        <v>495799</v>
      </c>
      <c r="BZ11" s="115">
        <f>BY11-BU11</f>
        <v>9166</v>
      </c>
      <c r="CA11" s="113">
        <v>478619</v>
      </c>
      <c r="CB11" s="114">
        <v>8816</v>
      </c>
      <c r="CC11" s="114">
        <f t="shared" ref="CC11" si="128">CA11+CB11</f>
        <v>487435</v>
      </c>
      <c r="CD11" s="115">
        <f t="shared" si="3"/>
        <v>-8364</v>
      </c>
      <c r="CE11" s="113">
        <v>478619</v>
      </c>
      <c r="CF11" s="114">
        <v>20788</v>
      </c>
      <c r="CG11" s="114">
        <f t="shared" si="4"/>
        <v>499407</v>
      </c>
      <c r="CH11" s="115">
        <f t="shared" si="5"/>
        <v>11972</v>
      </c>
      <c r="CI11" s="254"/>
      <c r="CJ11" s="240"/>
      <c r="CK11" s="240"/>
      <c r="CL11" s="255"/>
      <c r="CM11" s="113">
        <v>478619</v>
      </c>
      <c r="CN11" s="114">
        <v>8014</v>
      </c>
      <c r="CO11" s="114">
        <f t="shared" si="125"/>
        <v>486633</v>
      </c>
      <c r="CP11" s="115">
        <f t="shared" si="7"/>
        <v>-12774</v>
      </c>
      <c r="CQ11" s="113">
        <v>478619</v>
      </c>
      <c r="CR11" s="114">
        <v>7286</v>
      </c>
      <c r="CS11" s="114">
        <f>CQ11+CR11</f>
        <v>485905</v>
      </c>
      <c r="CT11" s="115">
        <f t="shared" si="9"/>
        <v>-728</v>
      </c>
      <c r="CU11" s="113">
        <v>478619</v>
      </c>
      <c r="CV11" s="114">
        <v>7286</v>
      </c>
      <c r="CW11" s="114">
        <f>CU11+CV11</f>
        <v>485905</v>
      </c>
      <c r="CX11" s="115">
        <f t="shared" si="11"/>
        <v>0</v>
      </c>
      <c r="CY11" s="113">
        <v>478619</v>
      </c>
      <c r="CZ11" s="114">
        <v>17180</v>
      </c>
      <c r="DA11" s="114">
        <f>CY11+CZ11</f>
        <v>495799</v>
      </c>
      <c r="DB11" s="115">
        <f t="shared" si="13"/>
        <v>9894</v>
      </c>
      <c r="DC11" s="113">
        <v>478619</v>
      </c>
      <c r="DD11" s="114">
        <v>7286</v>
      </c>
      <c r="DE11" s="114">
        <f>DC11+DD11</f>
        <v>485905</v>
      </c>
      <c r="DF11" s="115">
        <f t="shared" si="15"/>
        <v>-9894</v>
      </c>
      <c r="DG11" s="254"/>
      <c r="DH11" s="240"/>
      <c r="DI11" s="240"/>
      <c r="DJ11" s="240"/>
      <c r="DK11" s="254"/>
      <c r="DL11" s="240"/>
      <c r="DM11" s="240"/>
      <c r="DN11" s="240"/>
      <c r="DO11" s="113">
        <v>478619</v>
      </c>
      <c r="DP11" s="114">
        <v>15618</v>
      </c>
      <c r="DQ11" s="114">
        <f t="shared" si="127"/>
        <v>494237</v>
      </c>
      <c r="DR11" s="115"/>
      <c r="DS11" s="113">
        <v>478619</v>
      </c>
      <c r="DT11" s="114">
        <v>15618</v>
      </c>
      <c r="DU11" s="114">
        <f t="shared" si="103"/>
        <v>494237</v>
      </c>
      <c r="DV11" s="115">
        <f t="shared" si="18"/>
        <v>0</v>
      </c>
      <c r="DW11" s="113">
        <v>478619</v>
      </c>
      <c r="DX11" s="114">
        <v>18898</v>
      </c>
      <c r="DY11" s="114">
        <f t="shared" si="104"/>
        <v>497517</v>
      </c>
      <c r="DZ11" s="115">
        <f t="shared" si="63"/>
        <v>3280</v>
      </c>
      <c r="EA11" s="113">
        <v>478619</v>
      </c>
      <c r="EB11" s="114">
        <v>20788</v>
      </c>
      <c r="EC11" s="114">
        <f t="shared" si="105"/>
        <v>499407</v>
      </c>
      <c r="ED11" s="115">
        <f t="shared" si="64"/>
        <v>1890</v>
      </c>
      <c r="EE11" s="113">
        <v>478619</v>
      </c>
      <c r="EF11" s="114">
        <v>17180</v>
      </c>
      <c r="EG11" s="114">
        <f t="shared" si="106"/>
        <v>495799</v>
      </c>
      <c r="EH11" s="115">
        <f t="shared" si="65"/>
        <v>-3608</v>
      </c>
      <c r="EI11" s="113">
        <v>478619</v>
      </c>
      <c r="EJ11" s="114">
        <v>18898</v>
      </c>
      <c r="EK11" s="114">
        <f t="shared" si="107"/>
        <v>497517</v>
      </c>
      <c r="EL11" s="115">
        <f t="shared" si="66"/>
        <v>1718</v>
      </c>
      <c r="EM11" s="271"/>
      <c r="EN11" s="271"/>
      <c r="EO11" s="113">
        <v>478619</v>
      </c>
      <c r="EP11" s="114">
        <v>17180</v>
      </c>
      <c r="EQ11" s="114">
        <f t="shared" si="108"/>
        <v>495799</v>
      </c>
      <c r="ER11" s="115">
        <f t="shared" si="24"/>
        <v>-1718</v>
      </c>
      <c r="ES11" s="113">
        <v>478619</v>
      </c>
      <c r="ET11" s="114">
        <v>7286</v>
      </c>
      <c r="EU11" s="114">
        <f t="shared" si="109"/>
        <v>485905</v>
      </c>
      <c r="EV11" s="115">
        <f t="shared" si="67"/>
        <v>7286</v>
      </c>
      <c r="EW11" s="260"/>
      <c r="EX11" s="260"/>
      <c r="EY11" s="260"/>
      <c r="EZ11" s="260"/>
      <c r="FA11" s="113">
        <v>478619</v>
      </c>
      <c r="FB11" s="114">
        <v>459</v>
      </c>
      <c r="FC11" s="114">
        <f t="shared" si="110"/>
        <v>479078</v>
      </c>
      <c r="FD11" s="115"/>
      <c r="FE11" s="113">
        <v>478619</v>
      </c>
      <c r="FF11" s="114">
        <v>18898</v>
      </c>
      <c r="FG11" s="114">
        <f t="shared" si="111"/>
        <v>497517</v>
      </c>
      <c r="FH11" s="32">
        <f t="shared" si="28"/>
        <v>18439</v>
      </c>
      <c r="FI11" s="113">
        <v>478619</v>
      </c>
      <c r="FJ11" s="114">
        <v>44562</v>
      </c>
      <c r="FK11" s="114">
        <f t="shared" si="112"/>
        <v>523181</v>
      </c>
      <c r="FL11" s="32">
        <f t="shared" si="30"/>
        <v>25664</v>
      </c>
      <c r="FM11" s="260"/>
      <c r="FN11" s="260"/>
      <c r="FO11" s="260"/>
      <c r="FP11" s="260"/>
      <c r="FQ11" s="27"/>
      <c r="FR11" s="32"/>
      <c r="FS11" s="27"/>
      <c r="FT11" s="32"/>
      <c r="FU11" s="113">
        <v>478619</v>
      </c>
      <c r="FV11" s="114">
        <v>36828</v>
      </c>
      <c r="FW11" s="114">
        <f t="shared" si="113"/>
        <v>515447</v>
      </c>
      <c r="FX11" s="32"/>
      <c r="FZ11" s="113"/>
      <c r="GA11" s="114"/>
      <c r="GB11" s="114"/>
      <c r="GC11" s="115"/>
      <c r="GD11" s="260"/>
      <c r="GE11" s="260"/>
      <c r="GF11" s="260"/>
      <c r="GG11" s="260"/>
      <c r="GH11" s="113">
        <v>478619</v>
      </c>
      <c r="GI11" s="114">
        <v>18898</v>
      </c>
      <c r="GJ11" s="114">
        <f t="shared" si="114"/>
        <v>497517</v>
      </c>
      <c r="GK11" s="115"/>
      <c r="GL11" s="113">
        <v>478619</v>
      </c>
      <c r="GM11" s="114">
        <v>18898</v>
      </c>
      <c r="GN11" s="114">
        <f t="shared" si="115"/>
        <v>497517</v>
      </c>
      <c r="GO11" s="115">
        <f>GN11-GJ11</f>
        <v>0</v>
      </c>
      <c r="GP11" s="260"/>
      <c r="GQ11" s="260"/>
      <c r="GR11" s="260"/>
      <c r="GS11" s="260"/>
      <c r="GT11" s="113">
        <v>478619</v>
      </c>
      <c r="GU11" s="114">
        <v>20788</v>
      </c>
      <c r="GV11" s="114">
        <f t="shared" si="117"/>
        <v>499407</v>
      </c>
      <c r="GW11" s="115"/>
      <c r="GX11" s="113">
        <v>478619</v>
      </c>
      <c r="GY11" s="114">
        <v>22867</v>
      </c>
      <c r="GZ11" s="114">
        <f t="shared" si="35"/>
        <v>501486</v>
      </c>
      <c r="HA11" s="115">
        <f>GZ11-GV11</f>
        <v>2079</v>
      </c>
      <c r="HB11" s="113">
        <v>478619</v>
      </c>
      <c r="HC11" s="114">
        <v>36818</v>
      </c>
      <c r="HD11" s="114">
        <f t="shared" si="36"/>
        <v>515437</v>
      </c>
      <c r="HE11" s="115">
        <f>HD11-GZ11</f>
        <v>13951</v>
      </c>
      <c r="HF11" s="113">
        <v>478619</v>
      </c>
      <c r="HG11" s="114">
        <v>36818</v>
      </c>
      <c r="HH11" s="114">
        <f t="shared" si="37"/>
        <v>515437</v>
      </c>
      <c r="HI11" s="115">
        <f>HH11-HD11</f>
        <v>0</v>
      </c>
      <c r="HJ11" s="113">
        <v>479556</v>
      </c>
      <c r="HK11" s="114">
        <v>20788</v>
      </c>
      <c r="HL11" s="114">
        <f t="shared" si="38"/>
        <v>500344</v>
      </c>
      <c r="HM11" s="115">
        <f>HL11-HH11</f>
        <v>-15093</v>
      </c>
      <c r="HN11" s="113">
        <v>480554</v>
      </c>
      <c r="HO11" s="114">
        <v>17180</v>
      </c>
      <c r="HP11" s="114">
        <f t="shared" si="39"/>
        <v>497734</v>
      </c>
      <c r="HQ11" s="115">
        <f>HP11-HL11</f>
        <v>-2610</v>
      </c>
      <c r="HR11" s="254"/>
      <c r="HS11" s="240"/>
      <c r="HT11" s="240"/>
      <c r="HU11" s="255"/>
      <c r="HV11" s="113">
        <v>569637</v>
      </c>
      <c r="HW11" s="114">
        <v>33511</v>
      </c>
      <c r="HX11" s="114">
        <f t="shared" si="40"/>
        <v>603148</v>
      </c>
      <c r="HY11" s="115"/>
      <c r="HZ11" s="113">
        <v>481348</v>
      </c>
      <c r="IA11" s="114">
        <v>17180</v>
      </c>
      <c r="IB11" s="114">
        <f t="shared" si="41"/>
        <v>498528</v>
      </c>
      <c r="IC11" s="115">
        <f>IB11-HX11</f>
        <v>-104620</v>
      </c>
      <c r="ID11" s="113">
        <v>481348</v>
      </c>
      <c r="IE11" s="114">
        <v>17180</v>
      </c>
      <c r="IF11" s="114">
        <f t="shared" si="42"/>
        <v>498528</v>
      </c>
      <c r="IG11" s="115">
        <f>IF11-IB11</f>
        <v>0</v>
      </c>
      <c r="IH11" s="113">
        <v>489447</v>
      </c>
      <c r="II11" s="114">
        <v>27669</v>
      </c>
      <c r="IJ11" s="114">
        <f t="shared" si="43"/>
        <v>517116</v>
      </c>
      <c r="IK11" s="115">
        <f>IJ11-IF11</f>
        <v>18588</v>
      </c>
      <c r="IL11" s="113">
        <v>489447</v>
      </c>
      <c r="IM11" s="114">
        <v>27669</v>
      </c>
      <c r="IN11" s="114">
        <f t="shared" si="44"/>
        <v>517116</v>
      </c>
      <c r="IO11" s="115">
        <f>IN11-IJ11</f>
        <v>0</v>
      </c>
      <c r="IP11" s="254"/>
      <c r="IQ11" s="240"/>
      <c r="IR11" s="240"/>
      <c r="IS11" s="255"/>
      <c r="IT11" s="254"/>
      <c r="IU11" s="240"/>
      <c r="IV11" s="240"/>
      <c r="IW11" s="255"/>
      <c r="IX11" s="113">
        <v>490552</v>
      </c>
      <c r="IY11" s="114">
        <v>18898</v>
      </c>
      <c r="IZ11" s="114">
        <f t="shared" si="45"/>
        <v>509450</v>
      </c>
      <c r="JA11" s="115"/>
      <c r="JB11" s="113">
        <v>490830</v>
      </c>
      <c r="JC11" s="114">
        <v>12908</v>
      </c>
      <c r="JD11" s="114">
        <f t="shared" si="46"/>
        <v>503738</v>
      </c>
      <c r="JE11" s="115">
        <f>JD11-IZ11</f>
        <v>-5712</v>
      </c>
      <c r="JF11" s="113">
        <v>491195</v>
      </c>
      <c r="JG11" s="114">
        <v>20788</v>
      </c>
      <c r="JH11" s="114">
        <f t="shared" si="47"/>
        <v>511983</v>
      </c>
      <c r="JI11" s="115">
        <f>JH11-JD11</f>
        <v>8245</v>
      </c>
      <c r="JJ11" s="113">
        <v>491419</v>
      </c>
      <c r="JK11" s="114">
        <v>9697</v>
      </c>
      <c r="JL11" s="114">
        <f t="shared" si="48"/>
        <v>501116</v>
      </c>
      <c r="JM11" s="115">
        <f>JL11-JH11</f>
        <v>-10867</v>
      </c>
      <c r="JN11" s="113">
        <v>491608</v>
      </c>
      <c r="JO11" s="114">
        <v>4112</v>
      </c>
      <c r="JP11" s="114">
        <f t="shared" si="49"/>
        <v>495720</v>
      </c>
      <c r="JQ11" s="115">
        <f>JP11-JL11</f>
        <v>-5396</v>
      </c>
      <c r="JR11" s="113"/>
      <c r="JS11" s="114"/>
      <c r="JT11" s="114"/>
      <c r="JU11" s="115"/>
      <c r="JV11" s="254"/>
      <c r="JW11" s="240"/>
      <c r="JX11" s="240"/>
      <c r="JY11" s="255"/>
      <c r="JZ11" s="113">
        <v>543320</v>
      </c>
      <c r="KA11" s="114">
        <v>12908</v>
      </c>
      <c r="KB11" s="114">
        <f t="shared" si="50"/>
        <v>556228</v>
      </c>
      <c r="KC11" s="115">
        <f>KB11-JX11</f>
        <v>556228</v>
      </c>
      <c r="KD11" s="113">
        <v>543320</v>
      </c>
      <c r="KE11" s="114">
        <v>14198</v>
      </c>
      <c r="KF11" s="114">
        <f t="shared" si="51"/>
        <v>557518</v>
      </c>
      <c r="KG11" s="115">
        <f>KF11-KB11</f>
        <v>1290</v>
      </c>
      <c r="KH11" s="114">
        <v>543320</v>
      </c>
      <c r="KI11" s="114">
        <v>10667</v>
      </c>
      <c r="KJ11" s="114">
        <f t="shared" si="52"/>
        <v>553987</v>
      </c>
      <c r="KK11" s="114">
        <f>KJ11-KF11</f>
        <v>-3531</v>
      </c>
      <c r="KL11" s="114">
        <v>543320</v>
      </c>
      <c r="KM11" s="114">
        <v>12908</v>
      </c>
      <c r="KN11" s="114">
        <f t="shared" si="53"/>
        <v>556228</v>
      </c>
      <c r="KO11" s="114">
        <f>KN11-KJ11</f>
        <v>2241</v>
      </c>
      <c r="KP11" s="114">
        <v>543320</v>
      </c>
      <c r="KQ11" s="114">
        <v>12908</v>
      </c>
      <c r="KR11" s="114">
        <f t="shared" si="54"/>
        <v>556228</v>
      </c>
      <c r="KS11" s="114">
        <f>KR11-KN11</f>
        <v>0</v>
      </c>
      <c r="KU11" s="114">
        <v>543320</v>
      </c>
      <c r="KV11" s="114">
        <v>12908</v>
      </c>
      <c r="KW11" s="114">
        <f t="shared" si="55"/>
        <v>556228</v>
      </c>
      <c r="KX11" s="114">
        <f>KW11-KS11</f>
        <v>556228</v>
      </c>
      <c r="KY11" s="260"/>
      <c r="KZ11" s="260"/>
      <c r="LA11" s="260"/>
      <c r="LB11" s="260"/>
      <c r="LC11" s="260"/>
      <c r="LD11" s="260"/>
      <c r="LE11" s="260"/>
      <c r="LF11" s="260"/>
      <c r="LG11" s="114">
        <v>623708</v>
      </c>
      <c r="LH11" s="114">
        <v>182111</v>
      </c>
      <c r="LI11" s="114">
        <f t="shared" si="56"/>
        <v>805819</v>
      </c>
      <c r="LJ11" s="115"/>
      <c r="LK11" s="114"/>
      <c r="LL11" s="114"/>
      <c r="LM11" s="114"/>
      <c r="LN11" s="115"/>
      <c r="LO11" s="260"/>
      <c r="LP11" s="260"/>
      <c r="LQ11" s="260"/>
      <c r="LR11" s="260"/>
      <c r="LS11" s="260"/>
      <c r="LT11" s="260"/>
      <c r="LU11" s="260"/>
      <c r="LV11" s="260"/>
      <c r="LW11" s="114">
        <v>557824</v>
      </c>
      <c r="LX11" s="114">
        <v>329773</v>
      </c>
      <c r="LY11" s="114">
        <f t="shared" si="118"/>
        <v>887597</v>
      </c>
      <c r="LZ11" s="115"/>
      <c r="MA11" s="260"/>
      <c r="MB11" s="260"/>
      <c r="MC11" s="260"/>
      <c r="MD11" s="260"/>
      <c r="ME11" s="114">
        <v>557824</v>
      </c>
      <c r="MF11" s="114">
        <v>11734</v>
      </c>
      <c r="MG11" s="114">
        <f t="shared" si="119"/>
        <v>569558</v>
      </c>
      <c r="MH11" s="115"/>
      <c r="MI11" s="114">
        <v>557824</v>
      </c>
      <c r="MJ11" s="114">
        <v>11734</v>
      </c>
      <c r="MK11" s="114">
        <f t="shared" si="120"/>
        <v>569558</v>
      </c>
      <c r="ML11" s="114">
        <f>MK11-MG11</f>
        <v>0</v>
      </c>
      <c r="MM11" s="114">
        <v>557824</v>
      </c>
      <c r="MN11" s="114">
        <v>11734</v>
      </c>
      <c r="MO11" s="114">
        <f t="shared" si="121"/>
        <v>569558</v>
      </c>
      <c r="MP11" s="114">
        <f>MO11-MK11</f>
        <v>0</v>
      </c>
      <c r="MQ11" s="114">
        <v>557824</v>
      </c>
      <c r="MR11" s="114">
        <v>2110</v>
      </c>
      <c r="MS11" s="114">
        <f t="shared" si="122"/>
        <v>559934</v>
      </c>
      <c r="MT11" s="114">
        <f>MS11-MO11</f>
        <v>-9624</v>
      </c>
      <c r="MU11" s="114">
        <v>557824</v>
      </c>
      <c r="MV11" s="114">
        <v>2110</v>
      </c>
      <c r="MW11" s="114">
        <f t="shared" si="123"/>
        <v>559934</v>
      </c>
      <c r="MX11" s="114">
        <f>MW11-MS11</f>
        <v>0</v>
      </c>
      <c r="MY11" s="260"/>
      <c r="MZ11" s="260"/>
      <c r="NA11" s="260"/>
      <c r="NB11" s="260"/>
      <c r="NC11" s="260"/>
      <c r="ND11" s="260"/>
      <c r="NE11" s="260"/>
      <c r="NF11" s="260"/>
      <c r="NG11" s="113">
        <v>557824</v>
      </c>
      <c r="NH11" s="114">
        <v>3738</v>
      </c>
      <c r="NI11" s="114"/>
      <c r="NJ11" s="115"/>
      <c r="NK11" s="113">
        <v>557824</v>
      </c>
      <c r="NL11" s="114">
        <v>3738</v>
      </c>
      <c r="NM11" s="114"/>
      <c r="NN11" s="115"/>
      <c r="NO11" s="113">
        <v>557824</v>
      </c>
      <c r="NP11" s="114">
        <v>3738</v>
      </c>
      <c r="NQ11" s="114">
        <f t="shared" si="92"/>
        <v>561562</v>
      </c>
      <c r="NR11" s="115"/>
      <c r="NS11" s="113">
        <v>557824</v>
      </c>
      <c r="NT11" s="114">
        <v>3738</v>
      </c>
      <c r="NU11" s="114">
        <f t="shared" si="93"/>
        <v>561562</v>
      </c>
      <c r="NV11" s="115"/>
      <c r="NW11" s="260"/>
      <c r="NX11" s="260"/>
      <c r="NY11" s="260"/>
      <c r="NZ11" s="260"/>
      <c r="OA11" s="113">
        <v>557824</v>
      </c>
      <c r="OB11" s="114">
        <v>3738</v>
      </c>
      <c r="OC11" s="114">
        <f t="shared" si="94"/>
        <v>561562</v>
      </c>
      <c r="OD11" s="115"/>
      <c r="OE11" s="260"/>
      <c r="OF11" s="260"/>
      <c r="OG11" s="260"/>
      <c r="OH11" s="260"/>
      <c r="OI11" s="113">
        <v>557824</v>
      </c>
      <c r="OJ11" s="114">
        <v>20788</v>
      </c>
      <c r="OK11" s="114">
        <v>578612</v>
      </c>
      <c r="OL11" s="115"/>
      <c r="OM11" s="113">
        <v>557824</v>
      </c>
      <c r="ON11" s="114">
        <v>20788</v>
      </c>
      <c r="OO11" s="114">
        <v>578612</v>
      </c>
      <c r="OP11" s="115"/>
      <c r="OQ11" s="113">
        <v>557824</v>
      </c>
      <c r="OR11" s="114">
        <v>20788</v>
      </c>
      <c r="OS11" s="114">
        <v>578612</v>
      </c>
      <c r="OT11" s="115"/>
      <c r="OU11" s="113">
        <v>557824</v>
      </c>
      <c r="OV11" s="114">
        <v>204763</v>
      </c>
      <c r="OW11" s="114">
        <v>762587</v>
      </c>
      <c r="OX11" s="115"/>
      <c r="OY11" s="113">
        <v>557824</v>
      </c>
      <c r="OZ11" s="114">
        <v>204763</v>
      </c>
      <c r="PA11" s="114">
        <v>762587</v>
      </c>
      <c r="PB11" s="115"/>
      <c r="PC11" s="114">
        <v>557824</v>
      </c>
      <c r="PD11" s="114">
        <v>204763</v>
      </c>
      <c r="PE11" s="114">
        <v>762587</v>
      </c>
      <c r="PF11" s="114"/>
      <c r="PG11" s="114"/>
      <c r="PH11" s="114"/>
      <c r="PI11" s="114"/>
      <c r="PJ11" s="114"/>
      <c r="PK11" s="114">
        <v>557824</v>
      </c>
      <c r="PL11" s="114">
        <v>204763</v>
      </c>
      <c r="PM11" s="114">
        <v>762587</v>
      </c>
      <c r="PN11" s="114"/>
      <c r="PP11" s="114">
        <v>557824</v>
      </c>
      <c r="PQ11" s="114">
        <v>204763</v>
      </c>
      <c r="PR11" s="114">
        <v>762587</v>
      </c>
      <c r="PS11" s="114"/>
      <c r="PT11" s="114">
        <v>557824</v>
      </c>
      <c r="PU11" s="114">
        <v>204763</v>
      </c>
      <c r="PV11" s="114">
        <v>762587</v>
      </c>
      <c r="PW11" s="114"/>
      <c r="PX11" s="114">
        <v>557824</v>
      </c>
      <c r="PY11" s="114">
        <v>204763</v>
      </c>
      <c r="PZ11" s="114">
        <v>762587</v>
      </c>
      <c r="QA11" s="114"/>
      <c r="QB11" s="114">
        <v>557824</v>
      </c>
      <c r="QC11" s="114">
        <v>204763</v>
      </c>
      <c r="QD11" s="114">
        <v>762587</v>
      </c>
      <c r="QE11" s="114"/>
      <c r="QF11" s="114">
        <v>557824</v>
      </c>
      <c r="QG11" s="114">
        <v>204763</v>
      </c>
      <c r="QH11" s="114">
        <v>762587</v>
      </c>
      <c r="QI11" s="114"/>
      <c r="QJ11" s="290"/>
      <c r="QK11" s="290"/>
      <c r="QL11" s="290"/>
      <c r="QM11" s="290"/>
      <c r="QN11" s="114">
        <v>557824</v>
      </c>
      <c r="QO11" s="114">
        <v>204763</v>
      </c>
      <c r="QP11" s="114">
        <v>762587</v>
      </c>
      <c r="QQ11" s="114"/>
      <c r="QR11" s="114">
        <v>557824</v>
      </c>
      <c r="QS11" s="114">
        <v>204763</v>
      </c>
      <c r="QT11" s="114">
        <v>762587</v>
      </c>
      <c r="QU11" s="114"/>
      <c r="QV11" s="114">
        <v>557824</v>
      </c>
      <c r="QW11" s="114">
        <v>204763</v>
      </c>
      <c r="QX11" s="114">
        <v>762587</v>
      </c>
      <c r="QY11" s="114"/>
      <c r="QZ11" s="114">
        <v>557824</v>
      </c>
      <c r="RA11" s="114">
        <v>204763</v>
      </c>
      <c r="RB11" s="114">
        <v>762587</v>
      </c>
      <c r="RC11" s="114"/>
      <c r="RD11" s="114">
        <v>557824</v>
      </c>
      <c r="RE11" s="114">
        <v>204763</v>
      </c>
      <c r="RF11" s="114">
        <v>762587</v>
      </c>
      <c r="RG11" s="114"/>
      <c r="RH11" s="114">
        <v>557824</v>
      </c>
      <c r="RI11" s="114">
        <v>204763</v>
      </c>
      <c r="RJ11" s="114">
        <v>762587</v>
      </c>
      <c r="RK11" s="114"/>
      <c r="RL11" s="240"/>
      <c r="RM11" s="240"/>
      <c r="RN11" s="240"/>
      <c r="RO11" s="240"/>
      <c r="RP11" s="114">
        <v>557824</v>
      </c>
      <c r="RQ11" s="114">
        <v>204763</v>
      </c>
      <c r="RR11" s="114">
        <v>762587</v>
      </c>
      <c r="RS11" s="114"/>
      <c r="RT11" s="114">
        <v>557824</v>
      </c>
      <c r="RU11" s="114">
        <v>204763</v>
      </c>
      <c r="RV11" s="114">
        <v>762587</v>
      </c>
      <c r="RW11" s="114"/>
      <c r="RX11" s="114">
        <v>557824</v>
      </c>
      <c r="RY11" s="114">
        <v>33480</v>
      </c>
      <c r="RZ11" s="114">
        <v>591304</v>
      </c>
      <c r="SA11" s="114"/>
    </row>
    <row r="12" spans="1:495" x14ac:dyDescent="0.3">
      <c r="A12" s="291">
        <v>7</v>
      </c>
      <c r="B12" s="25" t="s">
        <v>15</v>
      </c>
      <c r="C12" s="26" t="s">
        <v>47</v>
      </c>
      <c r="D12" s="283"/>
      <c r="E12" s="27"/>
      <c r="F12" s="192"/>
      <c r="G12" s="36"/>
      <c r="H12" s="46"/>
      <c r="I12" s="47">
        <f t="shared" si="0"/>
        <v>0</v>
      </c>
      <c r="J12" s="46"/>
      <c r="K12" s="47"/>
      <c r="L12" s="46"/>
      <c r="M12" s="47"/>
      <c r="N12" s="46"/>
      <c r="O12" s="47"/>
      <c r="P12" s="46"/>
      <c r="Q12" s="47"/>
      <c r="R12" s="232"/>
      <c r="S12" s="233"/>
      <c r="T12" s="46"/>
      <c r="U12" s="36"/>
      <c r="V12" s="46"/>
      <c r="W12" s="47"/>
      <c r="X12" s="39"/>
      <c r="Y12" s="32"/>
      <c r="Z12" s="32"/>
      <c r="AA12" s="36"/>
      <c r="AB12" s="46"/>
      <c r="AC12" s="47"/>
      <c r="AD12" s="39"/>
      <c r="AE12" s="32"/>
      <c r="AF12" s="232"/>
      <c r="AG12" s="233"/>
      <c r="AH12" s="27"/>
      <c r="AI12" s="32"/>
      <c r="AJ12" s="27"/>
      <c r="AK12" s="32"/>
      <c r="AL12" s="232"/>
      <c r="AM12" s="233"/>
      <c r="AN12" s="232"/>
      <c r="AO12" s="233"/>
      <c r="AP12" s="27"/>
      <c r="AQ12" s="32"/>
      <c r="AR12" s="27"/>
      <c r="AS12" s="32"/>
      <c r="AT12" s="285"/>
      <c r="AU12" s="285"/>
      <c r="AV12" s="27"/>
      <c r="AW12" s="32"/>
      <c r="AX12" s="27"/>
      <c r="AY12" s="32"/>
      <c r="AZ12" s="27"/>
      <c r="BA12" s="32"/>
      <c r="BB12" s="27"/>
      <c r="BC12" s="32"/>
      <c r="BD12" s="27"/>
      <c r="BE12" s="32"/>
      <c r="BF12" s="27"/>
      <c r="BG12" s="32"/>
      <c r="BH12" s="269"/>
      <c r="BI12" s="269"/>
      <c r="BJ12" s="18"/>
      <c r="BK12" s="113"/>
      <c r="BL12" s="114"/>
      <c r="BM12" s="114"/>
      <c r="BN12" s="115"/>
      <c r="BO12" s="113"/>
      <c r="BP12" s="114"/>
      <c r="BQ12" s="114"/>
      <c r="BR12" s="115"/>
      <c r="BS12" s="113"/>
      <c r="BT12" s="114"/>
      <c r="BU12" s="114"/>
      <c r="BV12" s="115"/>
      <c r="BW12" s="113"/>
      <c r="BX12" s="114"/>
      <c r="BY12" s="114"/>
      <c r="BZ12" s="115"/>
      <c r="CA12" s="113"/>
      <c r="CB12" s="114"/>
      <c r="CC12" s="114"/>
      <c r="CD12" s="116"/>
      <c r="CE12" s="113"/>
      <c r="CF12" s="114"/>
      <c r="CG12" s="114"/>
      <c r="CH12" s="115"/>
      <c r="CI12" s="254"/>
      <c r="CJ12" s="240"/>
      <c r="CK12" s="240"/>
      <c r="CL12" s="255"/>
      <c r="CM12" s="113"/>
      <c r="CN12" s="114"/>
      <c r="CO12" s="114"/>
      <c r="CP12" s="115"/>
      <c r="CQ12" s="113"/>
      <c r="CR12" s="114"/>
      <c r="CS12" s="114"/>
      <c r="CT12" s="115"/>
      <c r="CU12" s="113"/>
      <c r="CV12" s="114"/>
      <c r="CW12" s="114"/>
      <c r="CX12" s="115"/>
      <c r="CY12" s="113"/>
      <c r="CZ12" s="114"/>
      <c r="DA12" s="114"/>
      <c r="DB12" s="115"/>
      <c r="DC12" s="113"/>
      <c r="DD12" s="114"/>
      <c r="DE12" s="114"/>
      <c r="DF12" s="115"/>
      <c r="DG12" s="254"/>
      <c r="DH12" s="240"/>
      <c r="DI12" s="240"/>
      <c r="DJ12" s="240"/>
      <c r="DK12" s="254"/>
      <c r="DL12" s="240"/>
      <c r="DM12" s="240"/>
      <c r="DN12" s="240"/>
      <c r="DO12" s="113"/>
      <c r="DP12" s="114"/>
      <c r="DQ12" s="114"/>
      <c r="DR12" s="115"/>
      <c r="DS12" s="113"/>
      <c r="DT12" s="114"/>
      <c r="DU12" s="114"/>
      <c r="DV12" s="115"/>
      <c r="DW12" s="117"/>
      <c r="DX12" s="117"/>
      <c r="DY12" s="117"/>
      <c r="DZ12" s="114"/>
      <c r="EA12" s="117"/>
      <c r="EB12" s="117"/>
      <c r="EC12" s="117"/>
      <c r="ED12" s="114"/>
      <c r="EE12" s="114"/>
      <c r="EF12" s="114"/>
      <c r="EG12" s="27"/>
      <c r="EH12" s="32"/>
      <c r="EI12" s="27"/>
      <c r="EJ12" s="32"/>
      <c r="EK12" s="27"/>
      <c r="EL12" s="32"/>
      <c r="EM12" s="271"/>
      <c r="EN12" s="271"/>
      <c r="EO12" s="27"/>
      <c r="EP12" s="32"/>
      <c r="EQ12" s="27"/>
      <c r="ER12" s="32"/>
      <c r="ES12" s="27"/>
      <c r="ET12" s="114"/>
      <c r="EU12" s="27"/>
      <c r="EV12" s="32"/>
      <c r="EW12" s="260"/>
      <c r="EX12" s="260"/>
      <c r="EY12" s="260"/>
      <c r="EZ12" s="260"/>
      <c r="FA12" s="27"/>
      <c r="FB12" s="32"/>
      <c r="FC12" s="27"/>
      <c r="FD12" s="32"/>
      <c r="FE12" s="27"/>
      <c r="FF12" s="32"/>
      <c r="FG12" s="27"/>
      <c r="FH12" s="32"/>
      <c r="FI12" s="27"/>
      <c r="FJ12" s="32"/>
      <c r="FK12" s="27"/>
      <c r="FL12" s="32"/>
      <c r="FM12" s="260"/>
      <c r="FN12" s="260"/>
      <c r="FO12" s="260"/>
      <c r="FP12" s="260"/>
      <c r="FQ12" s="27"/>
      <c r="FR12" s="32"/>
      <c r="FS12" s="27"/>
      <c r="FT12" s="32"/>
      <c r="FU12" s="27"/>
      <c r="FV12" s="32"/>
      <c r="FW12" s="27"/>
      <c r="FX12" s="32"/>
      <c r="FZ12" s="113"/>
      <c r="GA12" s="114"/>
      <c r="GB12" s="114"/>
      <c r="GC12" s="115"/>
      <c r="GD12" s="260"/>
      <c r="GE12" s="260"/>
      <c r="GF12" s="260"/>
      <c r="GG12" s="260"/>
      <c r="GH12" s="27"/>
      <c r="GI12" s="32"/>
      <c r="GJ12" s="27"/>
      <c r="GK12" s="115"/>
      <c r="GL12" s="27"/>
      <c r="GM12" s="32"/>
      <c r="GN12" s="27"/>
      <c r="GO12" s="115"/>
      <c r="GP12" s="260"/>
      <c r="GQ12" s="260"/>
      <c r="GR12" s="260"/>
      <c r="GS12" s="260"/>
      <c r="GT12" s="27"/>
      <c r="GU12" s="32"/>
      <c r="GV12" s="27"/>
      <c r="GW12" s="115"/>
      <c r="GX12" s="27"/>
      <c r="GY12" s="32"/>
      <c r="GZ12" s="27"/>
      <c r="HA12" s="115"/>
      <c r="HB12" s="27"/>
      <c r="HC12" s="32"/>
      <c r="HD12" s="27"/>
      <c r="HE12" s="115"/>
      <c r="HF12" s="27"/>
      <c r="HG12" s="32"/>
      <c r="HH12" s="27"/>
      <c r="HI12" s="115"/>
      <c r="HJ12" s="27"/>
      <c r="HK12" s="32"/>
      <c r="HL12" s="27"/>
      <c r="HM12" s="115"/>
      <c r="HN12" s="27"/>
      <c r="HO12" s="32"/>
      <c r="HP12" s="27"/>
      <c r="HQ12" s="115"/>
      <c r="HR12" s="254"/>
      <c r="HS12" s="240"/>
      <c r="HT12" s="240"/>
      <c r="HU12" s="255"/>
      <c r="HV12" s="27"/>
      <c r="HW12" s="32"/>
      <c r="HX12" s="27"/>
      <c r="HY12" s="115"/>
      <c r="HZ12" s="27"/>
      <c r="IA12" s="32"/>
      <c r="IB12" s="27"/>
      <c r="IC12" s="115"/>
      <c r="ID12" s="27"/>
      <c r="IE12" s="32"/>
      <c r="IF12" s="27"/>
      <c r="IG12" s="115"/>
      <c r="IH12" s="27"/>
      <c r="II12" s="32"/>
      <c r="IJ12" s="27"/>
      <c r="IK12" s="115"/>
      <c r="IL12" s="27"/>
      <c r="IM12" s="32"/>
      <c r="IN12" s="27"/>
      <c r="IO12" s="115"/>
      <c r="IP12" s="254"/>
      <c r="IQ12" s="240"/>
      <c r="IR12" s="240"/>
      <c r="IS12" s="255"/>
      <c r="IT12" s="254"/>
      <c r="IU12" s="240"/>
      <c r="IV12" s="240"/>
      <c r="IW12" s="255"/>
      <c r="IX12" s="27"/>
      <c r="IY12" s="32"/>
      <c r="IZ12" s="27"/>
      <c r="JA12" s="115"/>
      <c r="JB12" s="27"/>
      <c r="JC12" s="32"/>
      <c r="JD12" s="27"/>
      <c r="JE12" s="115"/>
      <c r="JF12" s="27"/>
      <c r="JG12" s="32"/>
      <c r="JH12" s="27"/>
      <c r="JI12" s="115"/>
      <c r="JJ12" s="27"/>
      <c r="JK12" s="32"/>
      <c r="JL12" s="27"/>
      <c r="JM12" s="115"/>
      <c r="JN12" s="27"/>
      <c r="JO12" s="32"/>
      <c r="JP12" s="27"/>
      <c r="JQ12" s="115"/>
      <c r="JR12" s="27"/>
      <c r="JS12" s="32"/>
      <c r="JT12" s="27"/>
      <c r="JU12" s="115"/>
      <c r="JV12" s="254"/>
      <c r="JW12" s="240"/>
      <c r="JX12" s="240"/>
      <c r="JY12" s="255"/>
      <c r="JZ12" s="27"/>
      <c r="KA12" s="32"/>
      <c r="KB12" s="27"/>
      <c r="KC12" s="115"/>
      <c r="KD12" s="27"/>
      <c r="KE12" s="32"/>
      <c r="KF12" s="27"/>
      <c r="KG12" s="115"/>
      <c r="KH12" s="27"/>
      <c r="KI12" s="32"/>
      <c r="KJ12" s="27"/>
      <c r="KK12" s="115"/>
      <c r="KL12" s="27"/>
      <c r="KM12" s="32"/>
      <c r="KN12" s="27"/>
      <c r="KO12" s="115"/>
      <c r="KP12" s="27"/>
      <c r="KQ12" s="32"/>
      <c r="KR12" s="27"/>
      <c r="KS12" s="115"/>
      <c r="KU12" s="27"/>
      <c r="KV12" s="32"/>
      <c r="KW12" s="27"/>
      <c r="KX12" s="115"/>
      <c r="KY12" s="260"/>
      <c r="KZ12" s="260"/>
      <c r="LA12" s="260"/>
      <c r="LB12" s="260"/>
      <c r="LC12" s="260"/>
      <c r="LD12" s="260"/>
      <c r="LE12" s="260"/>
      <c r="LF12" s="260"/>
      <c r="LG12" s="27">
        <v>557824</v>
      </c>
      <c r="LH12" s="32">
        <v>25154</v>
      </c>
      <c r="LI12" s="114">
        <f t="shared" si="56"/>
        <v>582978</v>
      </c>
      <c r="LJ12" s="115"/>
      <c r="LK12" s="27"/>
      <c r="LL12" s="32"/>
      <c r="LM12" s="114"/>
      <c r="LN12" s="115"/>
      <c r="LO12" s="260"/>
      <c r="LP12" s="260"/>
      <c r="LQ12" s="260"/>
      <c r="LR12" s="260"/>
      <c r="LS12" s="260"/>
      <c r="LT12" s="260"/>
      <c r="LU12" s="260"/>
      <c r="LV12" s="260"/>
      <c r="LW12" s="27">
        <v>557824</v>
      </c>
      <c r="LX12" s="32">
        <v>25154</v>
      </c>
      <c r="LY12" s="114">
        <f t="shared" si="118"/>
        <v>582978</v>
      </c>
      <c r="LZ12" s="115"/>
      <c r="MA12" s="260"/>
      <c r="MB12" s="260"/>
      <c r="MC12" s="260"/>
      <c r="MD12" s="260"/>
      <c r="ME12" s="27">
        <v>557824</v>
      </c>
      <c r="MF12" s="32">
        <v>25154</v>
      </c>
      <c r="MG12" s="114">
        <f t="shared" si="119"/>
        <v>582978</v>
      </c>
      <c r="MH12" s="115"/>
      <c r="MI12" s="27">
        <v>557824</v>
      </c>
      <c r="MJ12" s="32">
        <v>25154</v>
      </c>
      <c r="MK12" s="114">
        <f t="shared" si="120"/>
        <v>582978</v>
      </c>
      <c r="ML12" s="115"/>
      <c r="MM12" s="27">
        <v>557824</v>
      </c>
      <c r="MN12" s="32">
        <v>25154</v>
      </c>
      <c r="MO12" s="114">
        <f t="shared" si="121"/>
        <v>582978</v>
      </c>
      <c r="MP12" s="115"/>
      <c r="MQ12" s="27">
        <v>557824</v>
      </c>
      <c r="MR12" s="32">
        <v>25154</v>
      </c>
      <c r="MS12" s="114">
        <f t="shared" si="122"/>
        <v>582978</v>
      </c>
      <c r="MT12" s="115"/>
      <c r="MU12" s="27">
        <v>557824</v>
      </c>
      <c r="MV12" s="32">
        <v>25154</v>
      </c>
      <c r="MW12" s="114">
        <f t="shared" si="123"/>
        <v>582978</v>
      </c>
      <c r="MX12" s="115"/>
      <c r="MY12" s="260"/>
      <c r="MZ12" s="260"/>
      <c r="NA12" s="260"/>
      <c r="NB12" s="260"/>
      <c r="NC12" s="260"/>
      <c r="ND12" s="260"/>
      <c r="NE12" s="260"/>
      <c r="NF12" s="260"/>
      <c r="NG12" s="27">
        <v>623708</v>
      </c>
      <c r="NH12" s="32">
        <v>182111</v>
      </c>
      <c r="NI12" s="27"/>
      <c r="NJ12" s="115"/>
      <c r="NK12" s="27">
        <v>623708</v>
      </c>
      <c r="NL12" s="32">
        <v>182111</v>
      </c>
      <c r="NM12" s="27"/>
      <c r="NN12" s="115"/>
      <c r="NO12" s="27"/>
      <c r="NP12" s="32"/>
      <c r="NQ12" s="114">
        <f t="shared" si="92"/>
        <v>0</v>
      </c>
      <c r="NR12" s="115"/>
      <c r="NS12" s="27"/>
      <c r="NT12" s="32"/>
      <c r="NU12" s="114">
        <f t="shared" si="93"/>
        <v>0</v>
      </c>
      <c r="NV12" s="115"/>
      <c r="NW12" s="260"/>
      <c r="NX12" s="260"/>
      <c r="NY12" s="260"/>
      <c r="NZ12" s="260"/>
      <c r="OA12" s="27"/>
      <c r="OB12" s="32"/>
      <c r="OC12" s="114">
        <f t="shared" si="94"/>
        <v>0</v>
      </c>
      <c r="OD12" s="115"/>
      <c r="OE12" s="260"/>
      <c r="OF12" s="260"/>
      <c r="OG12" s="260"/>
      <c r="OH12" s="260"/>
      <c r="OI12" s="27"/>
      <c r="OJ12" s="32"/>
      <c r="OK12" s="27"/>
      <c r="OL12" s="115"/>
      <c r="OM12" s="27"/>
      <c r="ON12" s="32"/>
      <c r="OO12" s="27"/>
      <c r="OP12" s="115"/>
      <c r="OQ12" s="27"/>
      <c r="OR12" s="32"/>
      <c r="OS12" s="27"/>
      <c r="OT12" s="115"/>
      <c r="OU12" s="27"/>
      <c r="OV12" s="32"/>
      <c r="OW12" s="27"/>
      <c r="OX12" s="115"/>
      <c r="OY12" s="27"/>
      <c r="OZ12" s="32"/>
      <c r="PA12" s="27"/>
      <c r="PB12" s="115"/>
      <c r="PC12" s="27"/>
      <c r="PD12" s="32"/>
      <c r="PE12" s="27"/>
      <c r="PF12" s="115"/>
      <c r="PG12" s="27"/>
      <c r="PH12" s="32"/>
      <c r="PI12" s="27"/>
      <c r="PJ12" s="115"/>
      <c r="PK12" s="27"/>
      <c r="PL12" s="32"/>
      <c r="PM12" s="27"/>
      <c r="PN12" s="115"/>
      <c r="PP12" s="27"/>
      <c r="PQ12" s="32"/>
      <c r="PR12" s="27"/>
      <c r="PS12" s="115"/>
      <c r="PT12" s="27"/>
      <c r="PU12" s="32"/>
      <c r="PV12" s="27"/>
      <c r="PW12" s="115"/>
      <c r="PX12" s="27"/>
      <c r="PY12" s="32"/>
      <c r="PZ12" s="27"/>
      <c r="QA12" s="115"/>
      <c r="QB12" s="27"/>
      <c r="QC12" s="32"/>
      <c r="QD12" s="27"/>
      <c r="QE12" s="115"/>
      <c r="QF12" s="27"/>
      <c r="QG12" s="32"/>
      <c r="QH12" s="27"/>
      <c r="QI12" s="115"/>
      <c r="QJ12" s="290"/>
      <c r="QK12" s="290"/>
      <c r="QL12" s="290"/>
      <c r="QM12" s="290"/>
      <c r="QN12" s="27"/>
      <c r="QO12" s="32"/>
      <c r="QP12" s="27"/>
      <c r="QQ12" s="115"/>
      <c r="QR12" s="27"/>
      <c r="QS12" s="32"/>
      <c r="QT12" s="27"/>
      <c r="QU12" s="115"/>
      <c r="QV12" s="27"/>
      <c r="QW12" s="32"/>
      <c r="QX12" s="27"/>
      <c r="QY12" s="115"/>
      <c r="QZ12" s="27"/>
      <c r="RA12" s="32"/>
      <c r="RB12" s="27"/>
      <c r="RC12" s="115"/>
      <c r="RD12" s="27"/>
      <c r="RE12" s="32"/>
      <c r="RF12" s="27"/>
      <c r="RG12" s="115"/>
      <c r="RH12" s="27"/>
      <c r="RI12" s="32"/>
      <c r="RJ12" s="27"/>
      <c r="RK12" s="115"/>
      <c r="RL12" s="240"/>
      <c r="RM12" s="240"/>
      <c r="RN12" s="240"/>
      <c r="RO12" s="240"/>
      <c r="RP12" s="27"/>
      <c r="RQ12" s="32"/>
      <c r="RR12" s="27"/>
      <c r="RS12" s="115"/>
      <c r="RT12" s="27"/>
      <c r="RU12" s="32"/>
      <c r="RV12" s="27"/>
      <c r="RW12" s="115"/>
      <c r="RX12" s="27"/>
      <c r="RY12" s="32"/>
      <c r="RZ12" s="27"/>
      <c r="SA12" s="115"/>
    </row>
    <row r="13" spans="1:495" s="153" customFormat="1" x14ac:dyDescent="0.3">
      <c r="A13" s="291">
        <v>8</v>
      </c>
      <c r="B13" s="25" t="s">
        <v>16</v>
      </c>
      <c r="C13" s="26" t="s">
        <v>50</v>
      </c>
      <c r="D13" s="283"/>
      <c r="E13" s="27">
        <v>242347</v>
      </c>
      <c r="F13" s="192"/>
      <c r="G13" s="36">
        <v>243717</v>
      </c>
      <c r="H13" s="46">
        <v>241674</v>
      </c>
      <c r="I13" s="47">
        <f t="shared" si="0"/>
        <v>-2043</v>
      </c>
      <c r="J13" s="46">
        <v>241674</v>
      </c>
      <c r="K13" s="47">
        <f t="shared" si="95"/>
        <v>0</v>
      </c>
      <c r="L13" s="46">
        <v>244758</v>
      </c>
      <c r="M13" s="47">
        <f>L13-J13</f>
        <v>3084</v>
      </c>
      <c r="N13" s="46">
        <f>240572+1952</f>
        <v>242524</v>
      </c>
      <c r="O13" s="47">
        <f>N13-L13</f>
        <v>-2234</v>
      </c>
      <c r="P13" s="46">
        <f>240572+6128</f>
        <v>246700</v>
      </c>
      <c r="Q13" s="47">
        <f>P13-N13</f>
        <v>4176</v>
      </c>
      <c r="R13" s="232"/>
      <c r="S13" s="233"/>
      <c r="T13" s="46">
        <f>240572+4186</f>
        <v>244758</v>
      </c>
      <c r="U13" s="36">
        <f>T13-P13</f>
        <v>-1942</v>
      </c>
      <c r="V13" s="46">
        <f>240572+7416</f>
        <v>247988</v>
      </c>
      <c r="W13" s="47">
        <f>V13-T13</f>
        <v>3230</v>
      </c>
      <c r="X13" s="39">
        <f>240572+4604</f>
        <v>245176</v>
      </c>
      <c r="Y13" s="32">
        <f>X13-V13</f>
        <v>-2812</v>
      </c>
      <c r="Z13" s="32">
        <f>240572+9870</f>
        <v>250442</v>
      </c>
      <c r="AA13" s="36">
        <f>Z13-X13</f>
        <v>5266</v>
      </c>
      <c r="AB13" s="46">
        <f>240572+8973</f>
        <v>249545</v>
      </c>
      <c r="AC13" s="47">
        <f>AB13-Z13</f>
        <v>-897</v>
      </c>
      <c r="AD13" s="39">
        <f>240572+19</f>
        <v>240591</v>
      </c>
      <c r="AE13" s="32">
        <f>AD13-AB13</f>
        <v>-8954</v>
      </c>
      <c r="AF13" s="232"/>
      <c r="AG13" s="233"/>
      <c r="AH13" s="27">
        <f>240572+11943</f>
        <v>252515</v>
      </c>
      <c r="AI13" s="32">
        <f>AH13-AD13</f>
        <v>11924</v>
      </c>
      <c r="AJ13" s="27">
        <f>240572+5065</f>
        <v>245637</v>
      </c>
      <c r="AK13" s="32">
        <f>AJ13-AH13</f>
        <v>-6878</v>
      </c>
      <c r="AL13" s="232"/>
      <c r="AM13" s="233"/>
      <c r="AN13" s="232"/>
      <c r="AO13" s="233"/>
      <c r="AP13" s="27">
        <f>240572+14452</f>
        <v>255024</v>
      </c>
      <c r="AQ13" s="32"/>
      <c r="AR13" s="27">
        <f>240572+21159</f>
        <v>261731</v>
      </c>
      <c r="AS13" s="32">
        <f>AR13-AP13</f>
        <v>6707</v>
      </c>
      <c r="AT13" s="285"/>
      <c r="AU13" s="285"/>
      <c r="AV13" s="27">
        <f>240572+13138</f>
        <v>253710</v>
      </c>
      <c r="AW13" s="32">
        <f>AV13-AR13</f>
        <v>-8021</v>
      </c>
      <c r="AX13" s="27">
        <f>240572+9870</f>
        <v>250442</v>
      </c>
      <c r="AY13" s="32">
        <f>AX13-AV13</f>
        <v>-3268</v>
      </c>
      <c r="AZ13" s="27">
        <f>240572+21159</f>
        <v>261731</v>
      </c>
      <c r="BA13" s="32">
        <f>AZ13-AX13</f>
        <v>11289</v>
      </c>
      <c r="BB13" s="27">
        <f>240572+25602</f>
        <v>266174</v>
      </c>
      <c r="BC13" s="32">
        <f>BB13-AZ13</f>
        <v>4443</v>
      </c>
      <c r="BD13" s="27">
        <f>240572+8157</f>
        <v>248729</v>
      </c>
      <c r="BE13" s="32">
        <f>BD13-BB13</f>
        <v>-17445</v>
      </c>
      <c r="BF13" s="27">
        <f>240572+19235</f>
        <v>259807</v>
      </c>
      <c r="BG13" s="32">
        <f>BF13-BD13</f>
        <v>11078</v>
      </c>
      <c r="BH13" s="269"/>
      <c r="BI13" s="269"/>
      <c r="BJ13" s="155"/>
      <c r="BK13" s="113">
        <v>240572</v>
      </c>
      <c r="BL13" s="114">
        <v>23275</v>
      </c>
      <c r="BM13" s="114">
        <f>BK13+BL13</f>
        <v>263847</v>
      </c>
      <c r="BN13" s="115"/>
      <c r="BO13" s="113">
        <v>240572</v>
      </c>
      <c r="BP13" s="114">
        <v>23275</v>
      </c>
      <c r="BQ13" s="114">
        <f>BO13+BP13</f>
        <v>263847</v>
      </c>
      <c r="BR13" s="115">
        <f>BQ13-BM13</f>
        <v>0</v>
      </c>
      <c r="BS13" s="113">
        <v>240572</v>
      </c>
      <c r="BT13" s="114">
        <v>8157</v>
      </c>
      <c r="BU13" s="114">
        <f>BS13+BT13</f>
        <v>248729</v>
      </c>
      <c r="BV13" s="115">
        <f>BU13-BQ13</f>
        <v>-15118</v>
      </c>
      <c r="BW13" s="113">
        <v>240572</v>
      </c>
      <c r="BX13" s="114">
        <v>23275</v>
      </c>
      <c r="BY13" s="114">
        <f>BW13+BX13</f>
        <v>263847</v>
      </c>
      <c r="BZ13" s="115">
        <f>BY13-BU13</f>
        <v>15118</v>
      </c>
      <c r="CA13" s="113">
        <v>240572</v>
      </c>
      <c r="CB13" s="114">
        <v>28163</v>
      </c>
      <c r="CC13" s="114">
        <f t="shared" ref="CC13:CC14" si="129">CA13+CB13</f>
        <v>268735</v>
      </c>
      <c r="CD13" s="115">
        <f>CC13-BY13</f>
        <v>4888</v>
      </c>
      <c r="CE13" s="113">
        <v>240572</v>
      </c>
      <c r="CF13" s="114">
        <v>15897</v>
      </c>
      <c r="CG13" s="114">
        <f t="shared" ref="CG13:CG14" si="130">CE13+CF13</f>
        <v>256469</v>
      </c>
      <c r="CH13" s="115">
        <f>CG13-CC13</f>
        <v>-12266</v>
      </c>
      <c r="CI13" s="254"/>
      <c r="CJ13" s="240"/>
      <c r="CK13" s="240"/>
      <c r="CL13" s="255"/>
      <c r="CM13" s="113">
        <v>240572</v>
      </c>
      <c r="CN13" s="114">
        <v>6741</v>
      </c>
      <c r="CO13" s="114">
        <f t="shared" ref="CO13:CO14" si="131">CM13+CN13</f>
        <v>247313</v>
      </c>
      <c r="CP13" s="115">
        <f>CO13-CG13</f>
        <v>-9156</v>
      </c>
      <c r="CQ13" s="113">
        <v>240572</v>
      </c>
      <c r="CR13" s="114">
        <v>17487</v>
      </c>
      <c r="CS13" s="114">
        <f t="shared" ref="CS13:CS14" si="132">CQ13+CR13</f>
        <v>258059</v>
      </c>
      <c r="CT13" s="115">
        <f>CS13-CO13</f>
        <v>10746</v>
      </c>
      <c r="CU13" s="113">
        <v>240572</v>
      </c>
      <c r="CV13" s="114">
        <v>6128</v>
      </c>
      <c r="CW13" s="114">
        <f t="shared" ref="CW13:CW14" si="133">CU13+CV13</f>
        <v>246700</v>
      </c>
      <c r="CX13" s="115">
        <f t="shared" si="11"/>
        <v>-11359</v>
      </c>
      <c r="CY13" s="113">
        <v>240572</v>
      </c>
      <c r="CZ13" s="114">
        <v>11943</v>
      </c>
      <c r="DA13" s="114">
        <f t="shared" ref="DA13:DA14" si="134">CY13+CZ13</f>
        <v>252515</v>
      </c>
      <c r="DB13" s="115">
        <f t="shared" ref="DB13:DB14" si="135">DA13-CW13</f>
        <v>5815</v>
      </c>
      <c r="DC13" s="113">
        <v>240572</v>
      </c>
      <c r="DD13" s="114">
        <v>5571</v>
      </c>
      <c r="DE13" s="114">
        <f t="shared" ref="DE13:DE14" si="136">DC13+DD13</f>
        <v>246143</v>
      </c>
      <c r="DF13" s="115">
        <f t="shared" ref="DF13:DF14" si="137">DE13-DA13</f>
        <v>-6372</v>
      </c>
      <c r="DG13" s="254"/>
      <c r="DH13" s="240"/>
      <c r="DI13" s="240"/>
      <c r="DJ13" s="240"/>
      <c r="DK13" s="254"/>
      <c r="DL13" s="240"/>
      <c r="DM13" s="240"/>
      <c r="DN13" s="240"/>
      <c r="DO13" s="113">
        <v>240572</v>
      </c>
      <c r="DP13" s="114">
        <v>10858</v>
      </c>
      <c r="DQ13" s="114">
        <f t="shared" si="127"/>
        <v>251430</v>
      </c>
      <c r="DR13" s="115"/>
      <c r="DS13" s="113">
        <v>240572</v>
      </c>
      <c r="DT13" s="114">
        <v>9870</v>
      </c>
      <c r="DU13" s="114">
        <f t="shared" ref="DU13:DU14" si="138">DS13+DT13</f>
        <v>250442</v>
      </c>
      <c r="DV13" s="115">
        <f>DU13-DQ13</f>
        <v>-988</v>
      </c>
      <c r="DW13" s="113">
        <v>240572</v>
      </c>
      <c r="DX13" s="114">
        <v>11943</v>
      </c>
      <c r="DY13" s="114">
        <f t="shared" ref="DY13:DY14" si="139">DW13+DX13</f>
        <v>252515</v>
      </c>
      <c r="DZ13" s="115">
        <f>DY13-DU13</f>
        <v>2073</v>
      </c>
      <c r="EA13" s="113">
        <v>240572</v>
      </c>
      <c r="EB13" s="114">
        <v>8157</v>
      </c>
      <c r="EC13" s="114">
        <f t="shared" ref="EC13:EC14" si="140">EA13+EB13</f>
        <v>248729</v>
      </c>
      <c r="ED13" s="115">
        <f>EC13-DY13</f>
        <v>-3786</v>
      </c>
      <c r="EE13" s="113">
        <v>240572</v>
      </c>
      <c r="EF13" s="114">
        <v>11943</v>
      </c>
      <c r="EG13" s="114">
        <f t="shared" ref="EG13:EG14" si="141">EE13+EF13</f>
        <v>252515</v>
      </c>
      <c r="EH13" s="115">
        <f>EG13-EC13</f>
        <v>3786</v>
      </c>
      <c r="EI13" s="113">
        <v>240572</v>
      </c>
      <c r="EJ13" s="114">
        <v>11943</v>
      </c>
      <c r="EK13" s="114">
        <f t="shared" ref="EK13:EK14" si="142">EI13+EJ13</f>
        <v>252515</v>
      </c>
      <c r="EL13" s="115">
        <f>EK13-EG13</f>
        <v>0</v>
      </c>
      <c r="EM13" s="271"/>
      <c r="EN13" s="271"/>
      <c r="EO13" s="113">
        <v>240572</v>
      </c>
      <c r="EP13" s="114">
        <v>10858</v>
      </c>
      <c r="EQ13" s="114">
        <f t="shared" ref="EQ13:EQ14" si="143">EO13+EP13</f>
        <v>251430</v>
      </c>
      <c r="ER13" s="115">
        <f>EQ13-EK13</f>
        <v>-1085</v>
      </c>
      <c r="ES13" s="113">
        <v>240572</v>
      </c>
      <c r="ET13" s="114">
        <v>5571</v>
      </c>
      <c r="EU13" s="114">
        <f t="shared" ref="EU13:EU14" si="144">ES13+ET13</f>
        <v>246143</v>
      </c>
      <c r="EV13" s="115">
        <f>EU13-EO13</f>
        <v>5571</v>
      </c>
      <c r="EW13" s="260"/>
      <c r="EX13" s="260"/>
      <c r="EY13" s="260"/>
      <c r="EZ13" s="260"/>
      <c r="FA13" s="113">
        <v>240572</v>
      </c>
      <c r="FB13" s="114">
        <v>11943</v>
      </c>
      <c r="FC13" s="114">
        <f t="shared" ref="FC13:FC14" si="145">FA13+FB13</f>
        <v>252515</v>
      </c>
      <c r="FD13" s="115"/>
      <c r="FE13" s="113">
        <v>240572</v>
      </c>
      <c r="FF13" s="114">
        <v>13138</v>
      </c>
      <c r="FG13" s="114">
        <f t="shared" ref="FG13:FG14" si="146">FE13+FF13</f>
        <v>253710</v>
      </c>
      <c r="FH13" s="32">
        <f>FG13-FC13</f>
        <v>1195</v>
      </c>
      <c r="FI13" s="113">
        <v>240572</v>
      </c>
      <c r="FJ13" s="114">
        <v>30979</v>
      </c>
      <c r="FK13" s="114">
        <f t="shared" ref="FK13:FK14" si="147">FI13+FJ13</f>
        <v>271551</v>
      </c>
      <c r="FL13" s="32">
        <f>FK13-FG13</f>
        <v>17841</v>
      </c>
      <c r="FM13" s="260"/>
      <c r="FN13" s="260"/>
      <c r="FO13" s="260"/>
      <c r="FP13" s="260"/>
      <c r="FQ13" s="27"/>
      <c r="FR13" s="32"/>
      <c r="FS13" s="27"/>
      <c r="FT13" s="32"/>
      <c r="FU13" s="113">
        <v>240572</v>
      </c>
      <c r="FV13" s="114">
        <v>13138</v>
      </c>
      <c r="FW13" s="114">
        <f t="shared" ref="FW13:FW14" si="148">FU13+FV13</f>
        <v>253710</v>
      </c>
      <c r="FX13" s="32"/>
      <c r="FZ13" s="113"/>
      <c r="GA13" s="114"/>
      <c r="GB13" s="114"/>
      <c r="GC13" s="115"/>
      <c r="GD13" s="260"/>
      <c r="GE13" s="260"/>
      <c r="GF13" s="260"/>
      <c r="GG13" s="260"/>
      <c r="GH13" s="113">
        <v>240572</v>
      </c>
      <c r="GI13" s="114">
        <v>13138</v>
      </c>
      <c r="GJ13" s="114">
        <f t="shared" ref="GJ13:GJ14" si="149">GH13+GI13</f>
        <v>253710</v>
      </c>
      <c r="GK13" s="115"/>
      <c r="GL13" s="113">
        <v>240572</v>
      </c>
      <c r="GM13" s="114">
        <v>14452</v>
      </c>
      <c r="GN13" s="114">
        <f t="shared" ref="GN13:GN14" si="150">GL13+GM13</f>
        <v>255024</v>
      </c>
      <c r="GO13" s="115">
        <f>GN13-GJ13</f>
        <v>1314</v>
      </c>
      <c r="GP13" s="260"/>
      <c r="GQ13" s="260"/>
      <c r="GR13" s="260"/>
      <c r="GS13" s="260"/>
      <c r="GT13" s="113">
        <v>240572</v>
      </c>
      <c r="GU13" s="114">
        <v>14452</v>
      </c>
      <c r="GV13" s="114">
        <f t="shared" ref="GV13:GV14" si="151">GT13+GU13</f>
        <v>255024</v>
      </c>
      <c r="GW13" s="115"/>
      <c r="GX13" s="113">
        <v>240572</v>
      </c>
      <c r="GY13" s="114">
        <v>14452</v>
      </c>
      <c r="GZ13" s="114">
        <f t="shared" ref="GZ13:GZ14" si="152">GX13+GY13</f>
        <v>255024</v>
      </c>
      <c r="HA13" s="115">
        <f>GZ13-GV13</f>
        <v>0</v>
      </c>
      <c r="HB13" s="113">
        <v>240572</v>
      </c>
      <c r="HC13" s="114">
        <v>37485</v>
      </c>
      <c r="HD13" s="114">
        <f t="shared" ref="HD13:HD14" si="153">HB13+HC13</f>
        <v>278057</v>
      </c>
      <c r="HE13" s="115">
        <f>HD13-GZ13</f>
        <v>23033</v>
      </c>
      <c r="HF13" s="113">
        <v>240572</v>
      </c>
      <c r="HG13" s="114">
        <v>13138</v>
      </c>
      <c r="HH13" s="114">
        <f t="shared" ref="HH13:HH14" si="154">HF13+HG13</f>
        <v>253710</v>
      </c>
      <c r="HI13" s="115">
        <f>HH13-HD13</f>
        <v>-24347</v>
      </c>
      <c r="HJ13" s="113">
        <v>240572</v>
      </c>
      <c r="HK13" s="114">
        <v>13138</v>
      </c>
      <c r="HL13" s="114">
        <f t="shared" ref="HL13:HL14" si="155">HJ13+HK13</f>
        <v>253710</v>
      </c>
      <c r="HM13" s="115">
        <f>HL13-HH13</f>
        <v>0</v>
      </c>
      <c r="HN13" s="113">
        <v>240572</v>
      </c>
      <c r="HO13" s="114">
        <v>13138</v>
      </c>
      <c r="HP13" s="114">
        <f t="shared" ref="HP13:HP14" si="156">HN13+HO13</f>
        <v>253710</v>
      </c>
      <c r="HQ13" s="115">
        <f>HP13-HL13</f>
        <v>0</v>
      </c>
      <c r="HR13" s="254"/>
      <c r="HS13" s="240"/>
      <c r="HT13" s="240"/>
      <c r="HU13" s="255"/>
      <c r="HV13" s="113">
        <v>240572</v>
      </c>
      <c r="HW13" s="114">
        <v>6741</v>
      </c>
      <c r="HX13" s="114">
        <f t="shared" ref="HX13:HX14" si="157">HV13+HW13</f>
        <v>247313</v>
      </c>
      <c r="HY13" s="115"/>
      <c r="HZ13" s="113">
        <v>240572</v>
      </c>
      <c r="IA13" s="114">
        <v>6741</v>
      </c>
      <c r="IB13" s="114">
        <f t="shared" ref="IB13:IB14" si="158">HZ13+IA13</f>
        <v>247313</v>
      </c>
      <c r="IC13" s="115">
        <f>IB13-HX13</f>
        <v>0</v>
      </c>
      <c r="ID13" s="113">
        <v>240572</v>
      </c>
      <c r="IE13" s="114">
        <v>6741</v>
      </c>
      <c r="IF13" s="114">
        <f t="shared" ref="IF13:IF14" si="159">ID13+IE13</f>
        <v>247313</v>
      </c>
      <c r="IG13" s="115"/>
      <c r="IH13" s="113">
        <v>240572</v>
      </c>
      <c r="II13" s="114">
        <v>9870</v>
      </c>
      <c r="IJ13" s="114">
        <f t="shared" ref="IJ13:IJ14" si="160">IH13+II13</f>
        <v>250442</v>
      </c>
      <c r="IK13" s="115"/>
      <c r="IL13" s="113">
        <v>240572</v>
      </c>
      <c r="IM13" s="114">
        <v>6741</v>
      </c>
      <c r="IN13" s="114">
        <f t="shared" ref="IN13:IN14" si="161">IL13+IM13</f>
        <v>247313</v>
      </c>
      <c r="IO13" s="115"/>
      <c r="IP13" s="254"/>
      <c r="IQ13" s="240"/>
      <c r="IR13" s="240"/>
      <c r="IS13" s="255"/>
      <c r="IT13" s="254"/>
      <c r="IU13" s="240"/>
      <c r="IV13" s="240"/>
      <c r="IW13" s="255"/>
      <c r="IX13" s="113">
        <v>240572</v>
      </c>
      <c r="IY13" s="114">
        <v>7416</v>
      </c>
      <c r="IZ13" s="114">
        <f t="shared" ref="IZ13:IZ14" si="162">IX13+IY13</f>
        <v>247988</v>
      </c>
      <c r="JA13" s="115"/>
      <c r="JB13" s="113">
        <v>240572</v>
      </c>
      <c r="JC13" s="114">
        <v>8157</v>
      </c>
      <c r="JD13" s="114">
        <f t="shared" ref="JD13:JD14" si="163">JB13+JC13</f>
        <v>248729</v>
      </c>
      <c r="JE13" s="115"/>
      <c r="JF13" s="113">
        <v>240572</v>
      </c>
      <c r="JG13" s="114">
        <v>7416</v>
      </c>
      <c r="JH13" s="114">
        <f t="shared" ref="JH13:JH14" si="164">JF13+JG13</f>
        <v>247988</v>
      </c>
      <c r="JI13" s="115"/>
      <c r="JJ13" s="113">
        <v>240572</v>
      </c>
      <c r="JK13" s="114">
        <v>5571</v>
      </c>
      <c r="JL13" s="114">
        <f t="shared" ref="JL13:JL14" si="165">JJ13+JK13</f>
        <v>246143</v>
      </c>
      <c r="JM13" s="115"/>
      <c r="JN13" s="113">
        <v>240572</v>
      </c>
      <c r="JO13" s="114">
        <v>2859</v>
      </c>
      <c r="JP13" s="114">
        <f t="shared" ref="JP13:JP14" si="166">JN13+JO13</f>
        <v>243431</v>
      </c>
      <c r="JQ13" s="115"/>
      <c r="JR13" s="113"/>
      <c r="JS13" s="114"/>
      <c r="JT13" s="114"/>
      <c r="JU13" s="115"/>
      <c r="JV13" s="254"/>
      <c r="JW13" s="240"/>
      <c r="JX13" s="240"/>
      <c r="JY13" s="255"/>
      <c r="JZ13" s="113">
        <v>240572</v>
      </c>
      <c r="KA13" s="114">
        <v>29</v>
      </c>
      <c r="KB13" s="114">
        <f t="shared" ref="KB13:KB14" si="167">JZ13+KA13</f>
        <v>240601</v>
      </c>
      <c r="KC13" s="115"/>
      <c r="KD13" s="27">
        <v>272134</v>
      </c>
      <c r="KE13" s="27">
        <v>263</v>
      </c>
      <c r="KF13" s="27">
        <f t="shared" ref="KF13:KF14" si="168">KD13+KE13</f>
        <v>272397</v>
      </c>
      <c r="KG13" s="27"/>
      <c r="KH13" s="27">
        <v>272134</v>
      </c>
      <c r="KI13" s="27">
        <v>1102</v>
      </c>
      <c r="KJ13" s="27">
        <f t="shared" ref="KJ13:KJ14" si="169">KH13+KI13</f>
        <v>273236</v>
      </c>
      <c r="KK13" s="27"/>
      <c r="KL13" s="27">
        <v>272134</v>
      </c>
      <c r="KM13" s="27">
        <v>1102</v>
      </c>
      <c r="KN13" s="27">
        <f t="shared" ref="KN13:KN14" si="170">KL13+KM13</f>
        <v>273236</v>
      </c>
      <c r="KO13" s="27"/>
      <c r="KP13" s="27">
        <v>272134</v>
      </c>
      <c r="KQ13" s="27">
        <v>1102</v>
      </c>
      <c r="KR13" s="27">
        <f t="shared" ref="KR13:KR14" si="171">KP13+KQ13</f>
        <v>273236</v>
      </c>
      <c r="KS13" s="27"/>
      <c r="KU13" s="27">
        <v>272134</v>
      </c>
      <c r="KV13" s="27">
        <v>1102</v>
      </c>
      <c r="KW13" s="27">
        <f t="shared" ref="KW13:KW14" si="172">KU13+KV13</f>
        <v>273236</v>
      </c>
      <c r="KX13" s="27"/>
      <c r="KY13" s="260"/>
      <c r="KZ13" s="260"/>
      <c r="LA13" s="260"/>
      <c r="LB13" s="260"/>
      <c r="LC13" s="260"/>
      <c r="LD13" s="260"/>
      <c r="LE13" s="260"/>
      <c r="LF13" s="260"/>
      <c r="LG13" s="27">
        <v>272134</v>
      </c>
      <c r="LH13" s="27">
        <v>3145</v>
      </c>
      <c r="LI13" s="114">
        <f t="shared" si="56"/>
        <v>275279</v>
      </c>
      <c r="LJ13" s="115"/>
      <c r="LK13" s="27"/>
      <c r="LL13" s="27"/>
      <c r="LM13" s="114"/>
      <c r="LN13" s="115"/>
      <c r="LO13" s="260"/>
      <c r="LP13" s="260"/>
      <c r="LQ13" s="260"/>
      <c r="LR13" s="260"/>
      <c r="LS13" s="260"/>
      <c r="LT13" s="260"/>
      <c r="LU13" s="260"/>
      <c r="LV13" s="260"/>
      <c r="LW13" s="27">
        <v>272134</v>
      </c>
      <c r="LX13" s="27">
        <v>15897</v>
      </c>
      <c r="LY13" s="114">
        <f t="shared" si="118"/>
        <v>288031</v>
      </c>
      <c r="LZ13" s="115"/>
      <c r="MA13" s="260"/>
      <c r="MB13" s="260"/>
      <c r="MC13" s="260"/>
      <c r="MD13" s="260"/>
      <c r="ME13" s="27">
        <v>278196</v>
      </c>
      <c r="MF13" s="27">
        <v>3459</v>
      </c>
      <c r="MG13" s="114">
        <f t="shared" si="119"/>
        <v>281655</v>
      </c>
      <c r="MH13" s="115"/>
      <c r="MI13" s="27">
        <v>278196</v>
      </c>
      <c r="MJ13" s="27">
        <v>3459</v>
      </c>
      <c r="MK13" s="114">
        <f t="shared" si="120"/>
        <v>281655</v>
      </c>
      <c r="ML13" s="27"/>
      <c r="MM13" s="27">
        <v>278196</v>
      </c>
      <c r="MN13" s="27">
        <v>3459</v>
      </c>
      <c r="MO13" s="114">
        <f t="shared" si="121"/>
        <v>281655</v>
      </c>
      <c r="MP13" s="27"/>
      <c r="MQ13" s="27">
        <v>278196</v>
      </c>
      <c r="MR13" s="27">
        <v>1102</v>
      </c>
      <c r="MS13" s="114">
        <f t="shared" si="122"/>
        <v>279298</v>
      </c>
      <c r="MT13" s="27"/>
      <c r="MU13" s="27">
        <v>278196</v>
      </c>
      <c r="MV13" s="27">
        <v>1102</v>
      </c>
      <c r="MW13" s="114">
        <f t="shared" si="123"/>
        <v>279298</v>
      </c>
      <c r="MX13" s="27"/>
      <c r="MY13" s="260"/>
      <c r="MZ13" s="260"/>
      <c r="NA13" s="260"/>
      <c r="NB13" s="260"/>
      <c r="NC13" s="260"/>
      <c r="ND13" s="260"/>
      <c r="NE13" s="260"/>
      <c r="NF13" s="260"/>
      <c r="NG13" s="113">
        <v>278196</v>
      </c>
      <c r="NH13" s="114">
        <v>6741</v>
      </c>
      <c r="NI13" s="114"/>
      <c r="NJ13" s="115"/>
      <c r="NK13" s="113">
        <v>278196</v>
      </c>
      <c r="NL13" s="114">
        <v>6741</v>
      </c>
      <c r="NM13" s="114"/>
      <c r="NN13" s="115"/>
      <c r="NO13" s="113">
        <v>278196</v>
      </c>
      <c r="NP13" s="114">
        <v>6741</v>
      </c>
      <c r="NQ13" s="114">
        <f t="shared" si="92"/>
        <v>284937</v>
      </c>
      <c r="NR13" s="115"/>
      <c r="NS13" s="113">
        <v>278196</v>
      </c>
      <c r="NT13" s="114">
        <v>6741</v>
      </c>
      <c r="NU13" s="114">
        <f t="shared" si="93"/>
        <v>284937</v>
      </c>
      <c r="NV13" s="115"/>
      <c r="NW13" s="260"/>
      <c r="NX13" s="260"/>
      <c r="NY13" s="260"/>
      <c r="NZ13" s="260"/>
      <c r="OA13" s="113">
        <v>278196</v>
      </c>
      <c r="OB13" s="114">
        <v>6741</v>
      </c>
      <c r="OC13" s="114">
        <f t="shared" si="94"/>
        <v>284937</v>
      </c>
      <c r="OD13" s="115"/>
      <c r="OE13" s="260"/>
      <c r="OF13" s="260"/>
      <c r="OG13" s="260"/>
      <c r="OH13" s="260"/>
      <c r="OI13" s="113">
        <v>278196</v>
      </c>
      <c r="OJ13" s="114">
        <v>10858</v>
      </c>
      <c r="OK13" s="114">
        <v>289054</v>
      </c>
      <c r="OL13" s="115"/>
      <c r="OM13" s="113">
        <v>278196</v>
      </c>
      <c r="ON13" s="114">
        <v>10858</v>
      </c>
      <c r="OO13" s="114">
        <v>289054</v>
      </c>
      <c r="OP13" s="115"/>
      <c r="OQ13" s="113">
        <v>278196</v>
      </c>
      <c r="OR13" s="114">
        <v>10858</v>
      </c>
      <c r="OS13" s="114">
        <v>289054</v>
      </c>
      <c r="OT13" s="115"/>
      <c r="OU13" s="113">
        <v>278196</v>
      </c>
      <c r="OV13" s="114">
        <v>45357</v>
      </c>
      <c r="OW13" s="114">
        <v>323553</v>
      </c>
      <c r="OX13" s="115"/>
      <c r="OY13" s="113">
        <v>278196</v>
      </c>
      <c r="OZ13" s="114">
        <v>45357</v>
      </c>
      <c r="PA13" s="114">
        <v>323553</v>
      </c>
      <c r="PB13" s="115"/>
      <c r="PC13" s="27">
        <v>278196</v>
      </c>
      <c r="PD13" s="27">
        <v>45357</v>
      </c>
      <c r="PE13" s="27">
        <v>323553</v>
      </c>
      <c r="PF13" s="27"/>
      <c r="PG13" s="27"/>
      <c r="PH13" s="27"/>
      <c r="PI13" s="27"/>
      <c r="PJ13" s="27"/>
      <c r="PK13" s="27">
        <v>278196</v>
      </c>
      <c r="PL13" s="27">
        <v>45357</v>
      </c>
      <c r="PM13" s="27">
        <v>323553</v>
      </c>
      <c r="PN13" s="27"/>
      <c r="PP13" s="27">
        <v>278196</v>
      </c>
      <c r="PQ13" s="27">
        <v>45357</v>
      </c>
      <c r="PR13" s="27">
        <v>323553</v>
      </c>
      <c r="PS13" s="27"/>
      <c r="PT13" s="27">
        <v>278196</v>
      </c>
      <c r="PU13" s="27">
        <v>45357</v>
      </c>
      <c r="PV13" s="27">
        <v>323553</v>
      </c>
      <c r="PW13" s="27"/>
      <c r="PX13" s="27">
        <v>278196</v>
      </c>
      <c r="PY13" s="27">
        <v>45357</v>
      </c>
      <c r="PZ13" s="27">
        <v>323553</v>
      </c>
      <c r="QA13" s="27"/>
      <c r="QB13" s="27">
        <v>278196</v>
      </c>
      <c r="QC13" s="27">
        <v>45357</v>
      </c>
      <c r="QD13" s="27">
        <v>323553</v>
      </c>
      <c r="QE13" s="27"/>
      <c r="QF13" s="27">
        <v>278196</v>
      </c>
      <c r="QG13" s="27">
        <v>45357</v>
      </c>
      <c r="QH13" s="27">
        <v>323553</v>
      </c>
      <c r="QI13" s="27"/>
      <c r="QJ13" s="290"/>
      <c r="QK13" s="290"/>
      <c r="QL13" s="290"/>
      <c r="QM13" s="290"/>
      <c r="QN13" s="27">
        <v>278196</v>
      </c>
      <c r="QO13" s="27">
        <v>45357</v>
      </c>
      <c r="QP13" s="27">
        <v>323553</v>
      </c>
      <c r="QQ13" s="27"/>
      <c r="QR13" s="27">
        <v>278196</v>
      </c>
      <c r="QS13" s="27">
        <v>45357</v>
      </c>
      <c r="QT13" s="27">
        <v>323553</v>
      </c>
      <c r="QU13" s="27"/>
      <c r="QV13" s="27">
        <v>278196</v>
      </c>
      <c r="QW13" s="27">
        <v>45357</v>
      </c>
      <c r="QX13" s="27">
        <v>323553</v>
      </c>
      <c r="QY13" s="27"/>
      <c r="QZ13" s="27">
        <v>278196</v>
      </c>
      <c r="RA13" s="27">
        <v>45357</v>
      </c>
      <c r="RB13" s="27">
        <v>323553</v>
      </c>
      <c r="RC13" s="27"/>
      <c r="RD13" s="27">
        <v>278196</v>
      </c>
      <c r="RE13" s="27">
        <v>45357</v>
      </c>
      <c r="RF13" s="27">
        <v>323553</v>
      </c>
      <c r="RG13" s="27"/>
      <c r="RH13" s="27">
        <v>278196</v>
      </c>
      <c r="RI13" s="27">
        <v>45357</v>
      </c>
      <c r="RJ13" s="27">
        <v>323553</v>
      </c>
      <c r="RK13" s="27"/>
      <c r="RL13" s="240"/>
      <c r="RM13" s="240"/>
      <c r="RN13" s="240"/>
      <c r="RO13" s="240"/>
      <c r="RP13" s="27">
        <v>278196</v>
      </c>
      <c r="RQ13" s="27">
        <v>45357</v>
      </c>
      <c r="RR13" s="27">
        <v>323553</v>
      </c>
      <c r="RS13" s="27"/>
      <c r="RT13" s="27">
        <v>278196</v>
      </c>
      <c r="RU13" s="27">
        <v>45357</v>
      </c>
      <c r="RV13" s="27">
        <v>323553</v>
      </c>
      <c r="RW13" s="27"/>
      <c r="RX13" s="27">
        <v>278196</v>
      </c>
      <c r="RY13" s="27">
        <v>45357</v>
      </c>
      <c r="RZ13" s="27">
        <v>323553</v>
      </c>
      <c r="SA13" s="27"/>
    </row>
    <row r="14" spans="1:495" x14ac:dyDescent="0.3">
      <c r="A14" s="291">
        <v>9</v>
      </c>
      <c r="B14" s="26" t="s">
        <v>17</v>
      </c>
      <c r="C14" s="26" t="s">
        <v>47</v>
      </c>
      <c r="D14" s="283"/>
      <c r="E14" s="23">
        <v>101816</v>
      </c>
      <c r="F14" s="192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232"/>
      <c r="S14" s="233"/>
      <c r="T14" s="36"/>
      <c r="U14" s="36"/>
      <c r="V14" s="86"/>
      <c r="W14" s="47"/>
      <c r="X14" s="85"/>
      <c r="Y14" s="36"/>
      <c r="Z14" s="36"/>
      <c r="AA14" s="36"/>
      <c r="AB14" s="86"/>
      <c r="AC14" s="47"/>
      <c r="AD14" s="85"/>
      <c r="AE14" s="36"/>
      <c r="AF14" s="232"/>
      <c r="AG14" s="233"/>
      <c r="AH14" s="36"/>
      <c r="AI14" s="36"/>
      <c r="AJ14" s="36"/>
      <c r="AK14" s="36"/>
      <c r="AL14" s="232"/>
      <c r="AM14" s="233"/>
      <c r="AN14" s="232"/>
      <c r="AO14" s="233"/>
      <c r="AP14" s="36"/>
      <c r="AQ14" s="36"/>
      <c r="AR14" s="36"/>
      <c r="AS14" s="36"/>
      <c r="AT14" s="285"/>
      <c r="AU14" s="285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269"/>
      <c r="BI14" s="269"/>
      <c r="BJ14" s="18"/>
      <c r="BK14" s="113"/>
      <c r="BL14" s="114"/>
      <c r="BM14" s="114"/>
      <c r="BN14" s="115"/>
      <c r="BO14" s="113"/>
      <c r="BP14" s="114"/>
      <c r="BQ14" s="114"/>
      <c r="BR14" s="115"/>
      <c r="BS14" s="113"/>
      <c r="BT14" s="114"/>
      <c r="BU14" s="114"/>
      <c r="BV14" s="115"/>
      <c r="BW14" s="113">
        <v>108828</v>
      </c>
      <c r="BX14" s="114">
        <v>6624</v>
      </c>
      <c r="BY14" s="114">
        <f>BW14+BX14</f>
        <v>115452</v>
      </c>
      <c r="BZ14" s="115"/>
      <c r="CA14" s="113">
        <v>108827</v>
      </c>
      <c r="CB14" s="114">
        <v>6623</v>
      </c>
      <c r="CC14" s="114">
        <f t="shared" si="129"/>
        <v>115450</v>
      </c>
      <c r="CD14" s="115">
        <f>CC14-BY14</f>
        <v>-2</v>
      </c>
      <c r="CE14" s="113">
        <v>108827</v>
      </c>
      <c r="CF14" s="114">
        <v>6623</v>
      </c>
      <c r="CG14" s="114">
        <f t="shared" si="130"/>
        <v>115450</v>
      </c>
      <c r="CH14" s="115">
        <f>CG14-CC14</f>
        <v>0</v>
      </c>
      <c r="CI14" s="254"/>
      <c r="CJ14" s="240"/>
      <c r="CK14" s="240"/>
      <c r="CL14" s="255"/>
      <c r="CM14" s="113">
        <v>108827</v>
      </c>
      <c r="CN14" s="114">
        <v>6623</v>
      </c>
      <c r="CO14" s="114">
        <f t="shared" si="131"/>
        <v>115450</v>
      </c>
      <c r="CP14" s="115">
        <f>CO14-CG14</f>
        <v>0</v>
      </c>
      <c r="CQ14" s="113">
        <v>108827</v>
      </c>
      <c r="CR14" s="114">
        <v>6623</v>
      </c>
      <c r="CS14" s="114">
        <f t="shared" si="132"/>
        <v>115450</v>
      </c>
      <c r="CT14" s="115">
        <f>CS14-CO14</f>
        <v>0</v>
      </c>
      <c r="CU14" s="113">
        <v>108827</v>
      </c>
      <c r="CV14" s="114">
        <v>6623</v>
      </c>
      <c r="CW14" s="114">
        <f t="shared" si="133"/>
        <v>115450</v>
      </c>
      <c r="CX14" s="115">
        <f t="shared" si="11"/>
        <v>0</v>
      </c>
      <c r="CY14" s="113">
        <v>108827</v>
      </c>
      <c r="CZ14" s="114">
        <v>6623</v>
      </c>
      <c r="DA14" s="114">
        <f t="shared" si="134"/>
        <v>115450</v>
      </c>
      <c r="DB14" s="115">
        <f t="shared" si="135"/>
        <v>0</v>
      </c>
      <c r="DC14" s="113">
        <v>108827</v>
      </c>
      <c r="DD14" s="114">
        <v>6623</v>
      </c>
      <c r="DE14" s="114">
        <f t="shared" si="136"/>
        <v>115450</v>
      </c>
      <c r="DF14" s="115">
        <f t="shared" si="137"/>
        <v>0</v>
      </c>
      <c r="DG14" s="254"/>
      <c r="DH14" s="240"/>
      <c r="DI14" s="240"/>
      <c r="DJ14" s="240"/>
      <c r="DK14" s="254"/>
      <c r="DL14" s="240"/>
      <c r="DM14" s="240"/>
      <c r="DN14" s="240"/>
      <c r="DO14" s="113">
        <v>108827</v>
      </c>
      <c r="DP14" s="114">
        <v>6623</v>
      </c>
      <c r="DQ14" s="114">
        <f t="shared" si="127"/>
        <v>115450</v>
      </c>
      <c r="DR14" s="115"/>
      <c r="DS14" s="113">
        <v>108827</v>
      </c>
      <c r="DT14" s="114">
        <v>6623</v>
      </c>
      <c r="DU14" s="114">
        <f t="shared" si="138"/>
        <v>115450</v>
      </c>
      <c r="DV14" s="115">
        <f>DU14-DQ14</f>
        <v>0</v>
      </c>
      <c r="DW14" s="113">
        <v>108827</v>
      </c>
      <c r="DX14" s="114">
        <v>6623</v>
      </c>
      <c r="DY14" s="114">
        <f t="shared" si="139"/>
        <v>115450</v>
      </c>
      <c r="DZ14" s="115">
        <f>DY14-DU14</f>
        <v>0</v>
      </c>
      <c r="EA14" s="113">
        <v>108827</v>
      </c>
      <c r="EB14" s="114">
        <v>6623</v>
      </c>
      <c r="EC14" s="114">
        <f t="shared" si="140"/>
        <v>115450</v>
      </c>
      <c r="ED14" s="115">
        <f>EC14-DY14</f>
        <v>0</v>
      </c>
      <c r="EE14" s="113">
        <v>108827</v>
      </c>
      <c r="EF14" s="114">
        <v>6623</v>
      </c>
      <c r="EG14" s="114">
        <f t="shared" si="141"/>
        <v>115450</v>
      </c>
      <c r="EH14" s="115">
        <f>EG14-EC14</f>
        <v>0</v>
      </c>
      <c r="EI14" s="113">
        <v>108827</v>
      </c>
      <c r="EJ14" s="114">
        <v>6623</v>
      </c>
      <c r="EK14" s="114">
        <f t="shared" si="142"/>
        <v>115450</v>
      </c>
      <c r="EL14" s="115">
        <f>EK14-EG14</f>
        <v>0</v>
      </c>
      <c r="EM14" s="271"/>
      <c r="EN14" s="271"/>
      <c r="EO14" s="113">
        <v>108827</v>
      </c>
      <c r="EP14" s="114">
        <v>6623</v>
      </c>
      <c r="EQ14" s="114">
        <f t="shared" si="143"/>
        <v>115450</v>
      </c>
      <c r="ER14" s="115">
        <f>EQ14-EK14</f>
        <v>0</v>
      </c>
      <c r="ES14" s="113">
        <v>108827</v>
      </c>
      <c r="ET14" s="114">
        <v>6623</v>
      </c>
      <c r="EU14" s="114">
        <f t="shared" si="144"/>
        <v>115450</v>
      </c>
      <c r="EV14" s="115">
        <f>EU14-EO14</f>
        <v>6623</v>
      </c>
      <c r="EW14" s="260"/>
      <c r="EX14" s="260"/>
      <c r="EY14" s="260"/>
      <c r="EZ14" s="260"/>
      <c r="FA14" s="113">
        <v>108827</v>
      </c>
      <c r="FB14" s="114">
        <v>6623</v>
      </c>
      <c r="FC14" s="114">
        <f t="shared" si="145"/>
        <v>115450</v>
      </c>
      <c r="FD14" s="115"/>
      <c r="FE14" s="113">
        <v>108827</v>
      </c>
      <c r="FF14" s="114">
        <v>6623</v>
      </c>
      <c r="FG14" s="114">
        <f t="shared" si="146"/>
        <v>115450</v>
      </c>
      <c r="FH14" s="115">
        <f>FG14-FC14</f>
        <v>0</v>
      </c>
      <c r="FI14" s="113">
        <v>108827</v>
      </c>
      <c r="FJ14" s="114">
        <v>6623</v>
      </c>
      <c r="FK14" s="114">
        <f t="shared" si="147"/>
        <v>115450</v>
      </c>
      <c r="FL14" s="115">
        <f>FK14-FG14</f>
        <v>0</v>
      </c>
      <c r="FM14" s="260"/>
      <c r="FN14" s="260"/>
      <c r="FO14" s="260"/>
      <c r="FP14" s="260"/>
      <c r="FQ14" s="36"/>
      <c r="FR14" s="36"/>
      <c r="FS14" s="36"/>
      <c r="FT14" s="36"/>
      <c r="FU14" s="113">
        <v>108827</v>
      </c>
      <c r="FV14" s="114">
        <v>6623</v>
      </c>
      <c r="FW14" s="114">
        <f t="shared" si="148"/>
        <v>115450</v>
      </c>
      <c r="FX14" s="36"/>
      <c r="FZ14" s="113"/>
      <c r="GA14" s="114"/>
      <c r="GB14" s="114"/>
      <c r="GC14" s="115"/>
      <c r="GD14" s="260"/>
      <c r="GE14" s="260"/>
      <c r="GF14" s="260"/>
      <c r="GG14" s="260"/>
      <c r="GH14" s="113">
        <v>108827</v>
      </c>
      <c r="GI14" s="114">
        <v>6623</v>
      </c>
      <c r="GJ14" s="114">
        <f t="shared" si="149"/>
        <v>115450</v>
      </c>
      <c r="GK14" s="115"/>
      <c r="GL14" s="113">
        <v>108827</v>
      </c>
      <c r="GM14" s="114">
        <v>6623</v>
      </c>
      <c r="GN14" s="114">
        <f t="shared" si="150"/>
        <v>115450</v>
      </c>
      <c r="GO14" s="115">
        <f t="shared" ref="GO14" si="173">GN14-GJ14</f>
        <v>0</v>
      </c>
      <c r="GP14" s="260"/>
      <c r="GQ14" s="260"/>
      <c r="GR14" s="260"/>
      <c r="GS14" s="260"/>
      <c r="GT14" s="113">
        <v>108827</v>
      </c>
      <c r="GU14" s="114">
        <v>6623</v>
      </c>
      <c r="GV14" s="114">
        <f t="shared" si="151"/>
        <v>115450</v>
      </c>
      <c r="GW14" s="115"/>
      <c r="GX14" s="113">
        <v>108827</v>
      </c>
      <c r="GY14" s="114">
        <v>6623</v>
      </c>
      <c r="GZ14" s="114">
        <f t="shared" si="152"/>
        <v>115450</v>
      </c>
      <c r="HA14" s="115">
        <f t="shared" ref="HA14" si="174">GZ14-GV14</f>
        <v>0</v>
      </c>
      <c r="HB14" s="113">
        <v>108827</v>
      </c>
      <c r="HC14" s="114">
        <v>6623</v>
      </c>
      <c r="HD14" s="114">
        <f t="shared" si="153"/>
        <v>115450</v>
      </c>
      <c r="HE14" s="115">
        <f t="shared" ref="HE14" si="175">HD14-GZ14</f>
        <v>0</v>
      </c>
      <c r="HF14" s="113">
        <v>108827</v>
      </c>
      <c r="HG14" s="114">
        <v>6623</v>
      </c>
      <c r="HH14" s="114">
        <f t="shared" si="154"/>
        <v>115450</v>
      </c>
      <c r="HI14" s="115">
        <f t="shared" ref="HI14" si="176">HH14-HD14</f>
        <v>0</v>
      </c>
      <c r="HJ14" s="113">
        <v>108827</v>
      </c>
      <c r="HK14" s="114">
        <v>6623</v>
      </c>
      <c r="HL14" s="114">
        <f t="shared" si="155"/>
        <v>115450</v>
      </c>
      <c r="HM14" s="115">
        <f t="shared" ref="HM14" si="177">HL14-HH14</f>
        <v>0</v>
      </c>
      <c r="HN14" s="113">
        <v>108827</v>
      </c>
      <c r="HO14" s="114">
        <v>6623</v>
      </c>
      <c r="HP14" s="114">
        <f t="shared" si="156"/>
        <v>115450</v>
      </c>
      <c r="HQ14" s="115">
        <f t="shared" ref="HQ14" si="178">HP14-HL14</f>
        <v>0</v>
      </c>
      <c r="HR14" s="254"/>
      <c r="HS14" s="240"/>
      <c r="HT14" s="240"/>
      <c r="HU14" s="255"/>
      <c r="HV14" s="113">
        <v>108827</v>
      </c>
      <c r="HW14" s="114">
        <v>6623</v>
      </c>
      <c r="HX14" s="114">
        <f t="shared" si="157"/>
        <v>115450</v>
      </c>
      <c r="HY14" s="115"/>
      <c r="HZ14" s="113">
        <v>108827</v>
      </c>
      <c r="IA14" s="114">
        <v>6623</v>
      </c>
      <c r="IB14" s="114">
        <f t="shared" si="158"/>
        <v>115450</v>
      </c>
      <c r="IC14" s="115">
        <f t="shared" ref="IC14" si="179">IB14-HX14</f>
        <v>0</v>
      </c>
      <c r="ID14" s="113">
        <v>108827</v>
      </c>
      <c r="IE14" s="114">
        <v>6623</v>
      </c>
      <c r="IF14" s="114">
        <f t="shared" si="159"/>
        <v>115450</v>
      </c>
      <c r="IG14" s="115">
        <f>IF14-IB14</f>
        <v>0</v>
      </c>
      <c r="IH14" s="113">
        <v>108827</v>
      </c>
      <c r="II14" s="114">
        <v>6623</v>
      </c>
      <c r="IJ14" s="114">
        <f t="shared" si="160"/>
        <v>115450</v>
      </c>
      <c r="IK14" s="115">
        <f>IJ14-IF14</f>
        <v>0</v>
      </c>
      <c r="IL14" s="113">
        <v>108827</v>
      </c>
      <c r="IM14" s="114">
        <v>6623</v>
      </c>
      <c r="IN14" s="114">
        <f t="shared" si="161"/>
        <v>115450</v>
      </c>
      <c r="IO14" s="115">
        <f>IN14-IJ14</f>
        <v>0</v>
      </c>
      <c r="IP14" s="254"/>
      <c r="IQ14" s="240"/>
      <c r="IR14" s="240"/>
      <c r="IS14" s="255"/>
      <c r="IT14" s="254"/>
      <c r="IU14" s="240"/>
      <c r="IV14" s="240"/>
      <c r="IW14" s="255"/>
      <c r="IX14" s="113">
        <v>108827</v>
      </c>
      <c r="IY14" s="114">
        <v>6623</v>
      </c>
      <c r="IZ14" s="114">
        <f t="shared" si="162"/>
        <v>115450</v>
      </c>
      <c r="JA14" s="115"/>
      <c r="JB14" s="113">
        <v>108827</v>
      </c>
      <c r="JC14" s="114">
        <v>6623</v>
      </c>
      <c r="JD14" s="114">
        <f t="shared" si="163"/>
        <v>115450</v>
      </c>
      <c r="JE14" s="115">
        <f>JD14-IZ14</f>
        <v>0</v>
      </c>
      <c r="JF14" s="113">
        <v>108827</v>
      </c>
      <c r="JG14" s="114">
        <v>6623</v>
      </c>
      <c r="JH14" s="114">
        <f t="shared" si="164"/>
        <v>115450</v>
      </c>
      <c r="JI14" s="115">
        <f>JH14-JD14</f>
        <v>0</v>
      </c>
      <c r="JJ14" s="113">
        <v>108827</v>
      </c>
      <c r="JK14" s="114">
        <v>6623</v>
      </c>
      <c r="JL14" s="114">
        <f t="shared" si="165"/>
        <v>115450</v>
      </c>
      <c r="JM14" s="115">
        <f>JL14-JH14</f>
        <v>0</v>
      </c>
      <c r="JN14" s="113">
        <v>108827</v>
      </c>
      <c r="JO14" s="114">
        <v>6623</v>
      </c>
      <c r="JP14" s="114">
        <f t="shared" si="166"/>
        <v>115450</v>
      </c>
      <c r="JQ14" s="115">
        <f>JP14-JL14</f>
        <v>0</v>
      </c>
      <c r="JR14" s="113"/>
      <c r="JS14" s="114"/>
      <c r="JT14" s="114"/>
      <c r="JU14" s="115"/>
      <c r="JV14" s="254"/>
      <c r="JW14" s="240"/>
      <c r="JX14" s="240"/>
      <c r="JY14" s="255"/>
      <c r="JZ14" s="113">
        <v>108827</v>
      </c>
      <c r="KA14" s="114">
        <v>8014</v>
      </c>
      <c r="KB14" s="114">
        <f t="shared" si="167"/>
        <v>116841</v>
      </c>
      <c r="KC14" s="115">
        <f>KB14-JX14</f>
        <v>116841</v>
      </c>
      <c r="KD14" s="113">
        <v>108827</v>
      </c>
      <c r="KE14" s="114">
        <v>8014</v>
      </c>
      <c r="KF14" s="114">
        <f t="shared" si="168"/>
        <v>116841</v>
      </c>
      <c r="KG14" s="115">
        <f>KF14-KB14</f>
        <v>0</v>
      </c>
      <c r="KH14" s="113">
        <v>108827</v>
      </c>
      <c r="KI14" s="114">
        <v>8014</v>
      </c>
      <c r="KJ14" s="114">
        <f t="shared" si="169"/>
        <v>116841</v>
      </c>
      <c r="KK14" s="115">
        <f>KJ14-KF14</f>
        <v>0</v>
      </c>
      <c r="KL14" s="113">
        <v>108827</v>
      </c>
      <c r="KM14" s="114">
        <v>8014</v>
      </c>
      <c r="KN14" s="114">
        <f t="shared" si="170"/>
        <v>116841</v>
      </c>
      <c r="KO14" s="115">
        <f>KN14-KJ14</f>
        <v>0</v>
      </c>
      <c r="KP14" s="113">
        <v>108827</v>
      </c>
      <c r="KQ14" s="114">
        <v>8014</v>
      </c>
      <c r="KR14" s="114">
        <f t="shared" si="171"/>
        <v>116841</v>
      </c>
      <c r="KS14" s="115">
        <f>KR14-KN14</f>
        <v>0</v>
      </c>
      <c r="KU14" s="113">
        <v>108827</v>
      </c>
      <c r="KV14" s="114">
        <v>8014</v>
      </c>
      <c r="KW14" s="114">
        <f t="shared" si="172"/>
        <v>116841</v>
      </c>
      <c r="KX14" s="115">
        <f>KW14-KS14</f>
        <v>116841</v>
      </c>
      <c r="KY14" s="260"/>
      <c r="KZ14" s="260"/>
      <c r="LA14" s="260"/>
      <c r="LB14" s="260"/>
      <c r="LC14" s="260"/>
      <c r="LD14" s="260"/>
      <c r="LE14" s="260"/>
      <c r="LF14" s="260"/>
      <c r="LG14" s="113">
        <v>108827</v>
      </c>
      <c r="LH14" s="114">
        <v>8014</v>
      </c>
      <c r="LI14" s="114">
        <f t="shared" si="56"/>
        <v>116841</v>
      </c>
      <c r="LJ14" s="115"/>
      <c r="LK14" s="113"/>
      <c r="LL14" s="114"/>
      <c r="LM14" s="114"/>
      <c r="LN14" s="115"/>
      <c r="LO14" s="260"/>
      <c r="LP14" s="260"/>
      <c r="LQ14" s="260"/>
      <c r="LR14" s="260"/>
      <c r="LS14" s="260"/>
      <c r="LT14" s="260"/>
      <c r="LU14" s="260"/>
      <c r="LV14" s="260"/>
      <c r="LW14" s="113">
        <v>108827</v>
      </c>
      <c r="LX14" s="114">
        <v>8014</v>
      </c>
      <c r="LY14" s="114">
        <f t="shared" si="118"/>
        <v>116841</v>
      </c>
      <c r="LZ14" s="115"/>
      <c r="MA14" s="260"/>
      <c r="MB14" s="260"/>
      <c r="MC14" s="260"/>
      <c r="MD14" s="260"/>
      <c r="ME14" s="113">
        <v>108827</v>
      </c>
      <c r="MF14" s="114">
        <v>2321</v>
      </c>
      <c r="MG14" s="114">
        <f t="shared" si="119"/>
        <v>111148</v>
      </c>
      <c r="MH14" s="115"/>
      <c r="MI14" s="113">
        <v>108827</v>
      </c>
      <c r="MJ14" s="114">
        <v>2553</v>
      </c>
      <c r="MK14" s="114">
        <f t="shared" si="120"/>
        <v>111380</v>
      </c>
      <c r="ML14" s="115">
        <f>MK14-MG14</f>
        <v>232</v>
      </c>
      <c r="MM14" s="113">
        <v>108827</v>
      </c>
      <c r="MN14" s="114">
        <v>2553</v>
      </c>
      <c r="MO14" s="114">
        <f t="shared" si="121"/>
        <v>111380</v>
      </c>
      <c r="MP14" s="115">
        <f>MO14-MK14</f>
        <v>0</v>
      </c>
      <c r="MQ14" s="113">
        <v>108827</v>
      </c>
      <c r="MR14" s="114">
        <v>2553</v>
      </c>
      <c r="MS14" s="114">
        <f t="shared" si="122"/>
        <v>111380</v>
      </c>
      <c r="MT14" s="115">
        <f>MS14-MO14</f>
        <v>0</v>
      </c>
      <c r="MU14" s="113">
        <v>108827</v>
      </c>
      <c r="MV14" s="114">
        <v>2553</v>
      </c>
      <c r="MW14" s="114">
        <f t="shared" si="123"/>
        <v>111380</v>
      </c>
      <c r="MX14" s="115">
        <f>MW14-MS14</f>
        <v>0</v>
      </c>
      <c r="MY14" s="260"/>
      <c r="MZ14" s="260"/>
      <c r="NA14" s="260"/>
      <c r="NB14" s="260"/>
      <c r="NC14" s="260"/>
      <c r="ND14" s="260"/>
      <c r="NE14" s="260"/>
      <c r="NF14" s="260"/>
      <c r="NG14" s="113">
        <v>108827</v>
      </c>
      <c r="NH14" s="114">
        <v>2553</v>
      </c>
      <c r="NI14" s="114"/>
      <c r="NJ14" s="115"/>
      <c r="NK14" s="113">
        <v>108827</v>
      </c>
      <c r="NL14" s="114">
        <v>2553</v>
      </c>
      <c r="NM14" s="114"/>
      <c r="NN14" s="115"/>
      <c r="NO14" s="113">
        <v>108827</v>
      </c>
      <c r="NP14" s="114">
        <v>2553</v>
      </c>
      <c r="NQ14" s="114">
        <f t="shared" si="92"/>
        <v>111380</v>
      </c>
      <c r="NR14" s="115"/>
      <c r="NS14" s="113">
        <v>108827</v>
      </c>
      <c r="NT14" s="114">
        <v>2553</v>
      </c>
      <c r="NU14" s="114">
        <f t="shared" si="93"/>
        <v>111380</v>
      </c>
      <c r="NV14" s="115"/>
      <c r="NW14" s="260"/>
      <c r="NX14" s="260"/>
      <c r="NY14" s="260"/>
      <c r="NZ14" s="260"/>
      <c r="OA14" s="113">
        <v>108827</v>
      </c>
      <c r="OB14" s="114">
        <v>2553</v>
      </c>
      <c r="OC14" s="114">
        <f t="shared" si="94"/>
        <v>111380</v>
      </c>
      <c r="OD14" s="115"/>
      <c r="OE14" s="260"/>
      <c r="OF14" s="260"/>
      <c r="OG14" s="260"/>
      <c r="OH14" s="260"/>
      <c r="OI14" s="113">
        <v>108827</v>
      </c>
      <c r="OJ14" s="114">
        <v>2553</v>
      </c>
      <c r="OK14" s="114">
        <v>111380</v>
      </c>
      <c r="OL14" s="115"/>
      <c r="OM14" s="113">
        <v>108827</v>
      </c>
      <c r="ON14" s="114">
        <v>2553</v>
      </c>
      <c r="OO14" s="114">
        <v>111380</v>
      </c>
      <c r="OP14" s="115"/>
      <c r="OQ14" s="113">
        <v>108827</v>
      </c>
      <c r="OR14" s="114">
        <v>2553</v>
      </c>
      <c r="OS14" s="114">
        <v>111380</v>
      </c>
      <c r="OT14" s="115"/>
      <c r="OU14" s="113">
        <v>113947</v>
      </c>
      <c r="OV14" s="114">
        <v>22867</v>
      </c>
      <c r="OW14" s="114">
        <v>136814</v>
      </c>
      <c r="OX14" s="115"/>
      <c r="OY14" s="113">
        <v>113947</v>
      </c>
      <c r="OZ14" s="114">
        <v>22867</v>
      </c>
      <c r="PA14" s="114">
        <v>136814</v>
      </c>
      <c r="PB14" s="115"/>
      <c r="PC14" s="113">
        <v>113947</v>
      </c>
      <c r="PD14" s="114">
        <v>22867</v>
      </c>
      <c r="PE14" s="114">
        <v>136814</v>
      </c>
      <c r="PF14" s="115"/>
      <c r="PG14" s="113"/>
      <c r="PH14" s="114"/>
      <c r="PI14" s="114"/>
      <c r="PJ14" s="115"/>
      <c r="PK14" s="113">
        <v>113947</v>
      </c>
      <c r="PL14" s="114">
        <v>22867</v>
      </c>
      <c r="PM14" s="114">
        <v>136814</v>
      </c>
      <c r="PN14" s="115"/>
      <c r="PP14" s="113">
        <v>113947</v>
      </c>
      <c r="PQ14" s="114">
        <v>22867</v>
      </c>
      <c r="PR14" s="114">
        <v>136814</v>
      </c>
      <c r="PS14" s="115"/>
      <c r="PT14" s="113">
        <v>113947</v>
      </c>
      <c r="PU14" s="114">
        <v>22867</v>
      </c>
      <c r="PV14" s="114">
        <v>136814</v>
      </c>
      <c r="PW14" s="115"/>
      <c r="PX14" s="113">
        <v>113947</v>
      </c>
      <c r="PY14" s="114">
        <v>22867</v>
      </c>
      <c r="PZ14" s="114">
        <v>136814</v>
      </c>
      <c r="QA14" s="115"/>
      <c r="QB14" s="113">
        <v>113947</v>
      </c>
      <c r="QC14" s="114">
        <v>22867</v>
      </c>
      <c r="QD14" s="114">
        <v>136814</v>
      </c>
      <c r="QE14" s="115"/>
      <c r="QF14" s="113">
        <v>113947</v>
      </c>
      <c r="QG14" s="114">
        <v>22867</v>
      </c>
      <c r="QH14" s="114">
        <v>136814</v>
      </c>
      <c r="QI14" s="115"/>
      <c r="QJ14" s="290"/>
      <c r="QK14" s="290"/>
      <c r="QL14" s="290"/>
      <c r="QM14" s="290"/>
      <c r="QN14" s="113">
        <v>113947</v>
      </c>
      <c r="QO14" s="114">
        <v>22867</v>
      </c>
      <c r="QP14" s="114">
        <v>136814</v>
      </c>
      <c r="QQ14" s="115"/>
      <c r="QR14" s="113">
        <v>113947</v>
      </c>
      <c r="QS14" s="114">
        <v>22867</v>
      </c>
      <c r="QT14" s="114">
        <v>136814</v>
      </c>
      <c r="QU14" s="115"/>
      <c r="QV14" s="113">
        <v>113947</v>
      </c>
      <c r="QW14" s="114">
        <v>22867</v>
      </c>
      <c r="QX14" s="114">
        <v>136814</v>
      </c>
      <c r="QY14" s="115"/>
      <c r="QZ14" s="113">
        <v>113947</v>
      </c>
      <c r="RA14" s="114">
        <v>22867</v>
      </c>
      <c r="RB14" s="114">
        <v>136814</v>
      </c>
      <c r="RC14" s="115"/>
      <c r="RD14" s="113">
        <v>113947</v>
      </c>
      <c r="RE14" s="114">
        <v>22867</v>
      </c>
      <c r="RF14" s="114">
        <v>136814</v>
      </c>
      <c r="RG14" s="115"/>
      <c r="RH14" s="113">
        <v>113947</v>
      </c>
      <c r="RI14" s="114">
        <v>22867</v>
      </c>
      <c r="RJ14" s="114">
        <v>136814</v>
      </c>
      <c r="RK14" s="115"/>
      <c r="RL14" s="240"/>
      <c r="RM14" s="240"/>
      <c r="RN14" s="240"/>
      <c r="RO14" s="240"/>
      <c r="RP14" s="113">
        <v>113947</v>
      </c>
      <c r="RQ14" s="114">
        <v>22867</v>
      </c>
      <c r="RR14" s="114">
        <v>136814</v>
      </c>
      <c r="RS14" s="115"/>
      <c r="RT14" s="113">
        <v>113947</v>
      </c>
      <c r="RU14" s="114">
        <v>22867</v>
      </c>
      <c r="RV14" s="114">
        <v>136814</v>
      </c>
      <c r="RW14" s="115"/>
      <c r="RX14" s="113">
        <v>113947</v>
      </c>
      <c r="RY14" s="114">
        <v>22867</v>
      </c>
      <c r="RZ14" s="114">
        <v>136814</v>
      </c>
      <c r="SA14" s="115"/>
    </row>
    <row r="15" spans="1:495" x14ac:dyDescent="0.3">
      <c r="A15" s="292">
        <v>10</v>
      </c>
      <c r="B15" s="4" t="s">
        <v>20</v>
      </c>
      <c r="C15" s="6" t="s">
        <v>51</v>
      </c>
      <c r="D15" s="283"/>
      <c r="E15" s="14">
        <v>422823</v>
      </c>
      <c r="F15" s="192"/>
      <c r="G15" s="35">
        <v>422595</v>
      </c>
      <c r="H15" s="43">
        <v>423098</v>
      </c>
      <c r="I15" s="44">
        <f t="shared" si="0"/>
        <v>503</v>
      </c>
      <c r="J15" s="43">
        <v>423098</v>
      </c>
      <c r="K15" s="44">
        <f t="shared" si="95"/>
        <v>0</v>
      </c>
      <c r="L15" s="43">
        <v>422595</v>
      </c>
      <c r="M15" s="44">
        <f>L15-J15</f>
        <v>-503</v>
      </c>
      <c r="N15" s="43">
        <f>421513+4112</f>
        <v>425625</v>
      </c>
      <c r="O15" s="44">
        <f>N15-L15</f>
        <v>3030</v>
      </c>
      <c r="P15" s="43">
        <f>421513+1310</f>
        <v>422823</v>
      </c>
      <c r="Q15" s="44">
        <f>P15-N15</f>
        <v>-2802</v>
      </c>
      <c r="R15" s="232"/>
      <c r="S15" s="233"/>
      <c r="T15" s="43">
        <f>421513+672</f>
        <v>422185</v>
      </c>
      <c r="U15" s="35">
        <f>T15-P15</f>
        <v>-638</v>
      </c>
      <c r="V15" s="43">
        <f>421513+1441</f>
        <v>422954</v>
      </c>
      <c r="W15" s="44">
        <f>V15-T15</f>
        <v>769</v>
      </c>
      <c r="X15" s="38">
        <f>421513+1441</f>
        <v>422954</v>
      </c>
      <c r="Y15" s="13">
        <f>X15-V15</f>
        <v>0</v>
      </c>
      <c r="Z15" s="13">
        <f>421513+672</f>
        <v>422185</v>
      </c>
      <c r="AA15" s="35">
        <f>Z15-X15</f>
        <v>-769</v>
      </c>
      <c r="AB15" s="43">
        <f>421513+417</f>
        <v>421930</v>
      </c>
      <c r="AC15" s="44">
        <f>AB15-Z15</f>
        <v>-255</v>
      </c>
      <c r="AD15" s="38">
        <f>421513+3089</f>
        <v>424602</v>
      </c>
      <c r="AE15" s="13">
        <f>AD15-AB15</f>
        <v>2672</v>
      </c>
      <c r="AF15" s="232"/>
      <c r="AG15" s="233"/>
      <c r="AH15" s="14">
        <f>421513+1744</f>
        <v>423257</v>
      </c>
      <c r="AI15" s="13">
        <f>AH15-AD15</f>
        <v>-1345</v>
      </c>
      <c r="AJ15" s="14">
        <f>421513+984</f>
        <v>422497</v>
      </c>
      <c r="AK15" s="13">
        <f>AJ15-AH15</f>
        <v>-760</v>
      </c>
      <c r="AL15" s="232"/>
      <c r="AM15" s="233"/>
      <c r="AN15" s="232"/>
      <c r="AO15" s="233"/>
      <c r="AP15" s="14">
        <f>421513+4112</f>
        <v>425625</v>
      </c>
      <c r="AQ15" s="13"/>
      <c r="AR15" s="14"/>
      <c r="AS15" s="13"/>
      <c r="AT15" s="285"/>
      <c r="AU15" s="285"/>
      <c r="AV15" s="14">
        <f>421513+3738</f>
        <v>425251</v>
      </c>
      <c r="AW15" s="13"/>
      <c r="AX15" s="14">
        <f>421513+3398</f>
        <v>424911</v>
      </c>
      <c r="AY15" s="13">
        <f>AX15-AV15</f>
        <v>-340</v>
      </c>
      <c r="AZ15" s="14">
        <f>421513+17180</f>
        <v>438693</v>
      </c>
      <c r="BA15" s="13">
        <f>AZ15-AX15</f>
        <v>13782</v>
      </c>
      <c r="BB15" s="14">
        <f>421513+2110</f>
        <v>423623</v>
      </c>
      <c r="BC15" s="13">
        <f>BB15-AZ15</f>
        <v>-15070</v>
      </c>
      <c r="BD15" s="14">
        <f>421513+984</f>
        <v>422497</v>
      </c>
      <c r="BE15" s="13">
        <f>BD15-BB15</f>
        <v>-1126</v>
      </c>
      <c r="BF15" s="14">
        <f>421513+344</f>
        <v>421857</v>
      </c>
      <c r="BG15" s="13">
        <f>BF15-BD15</f>
        <v>-640</v>
      </c>
      <c r="BH15" s="269"/>
      <c r="BI15" s="269"/>
      <c r="BJ15" s="18"/>
      <c r="BK15" s="118">
        <v>421513</v>
      </c>
      <c r="BL15" s="119">
        <v>23</v>
      </c>
      <c r="BM15" s="119">
        <f>BK15+BL15</f>
        <v>421536</v>
      </c>
      <c r="BN15" s="120"/>
      <c r="BO15" s="118">
        <v>421513</v>
      </c>
      <c r="BP15" s="119">
        <v>984</v>
      </c>
      <c r="BQ15" s="119">
        <f>BO15+BP15</f>
        <v>422497</v>
      </c>
      <c r="BR15" s="120">
        <f>BQ15-BM15</f>
        <v>961</v>
      </c>
      <c r="BS15" s="118">
        <v>421513</v>
      </c>
      <c r="BT15" s="119">
        <v>1082</v>
      </c>
      <c r="BU15" s="119">
        <f>BS15+BT15</f>
        <v>422595</v>
      </c>
      <c r="BV15" s="120">
        <f>BU15-BQ15</f>
        <v>98</v>
      </c>
      <c r="BW15" s="118">
        <v>421513</v>
      </c>
      <c r="BX15" s="119">
        <v>984</v>
      </c>
      <c r="BY15" s="119">
        <f>BW15+BX15</f>
        <v>422497</v>
      </c>
      <c r="BZ15" s="120">
        <f>BY15-BU15</f>
        <v>-98</v>
      </c>
      <c r="CA15" s="118">
        <v>421513</v>
      </c>
      <c r="CB15" s="119">
        <v>894</v>
      </c>
      <c r="CC15" s="119">
        <f t="shared" ref="CC15" si="180">CA15+CB15</f>
        <v>422407</v>
      </c>
      <c r="CD15" s="120">
        <f>CC15-BY15</f>
        <v>-90</v>
      </c>
      <c r="CE15" s="118">
        <v>421513</v>
      </c>
      <c r="CF15" s="119">
        <v>176</v>
      </c>
      <c r="CG15" s="119">
        <f t="shared" ref="CG15" si="181">CE15+CF15</f>
        <v>421689</v>
      </c>
      <c r="CH15" s="120">
        <f>CG15-CC15</f>
        <v>-718</v>
      </c>
      <c r="CI15" s="254"/>
      <c r="CJ15" s="240"/>
      <c r="CK15" s="240"/>
      <c r="CL15" s="255"/>
      <c r="CM15" s="118">
        <v>421513</v>
      </c>
      <c r="CN15" s="119">
        <v>894</v>
      </c>
      <c r="CO15" s="119">
        <f t="shared" ref="CO15" si="182">CM15+CN15</f>
        <v>422407</v>
      </c>
      <c r="CP15" s="120">
        <f>CO15-CG15</f>
        <v>718</v>
      </c>
      <c r="CQ15" s="118">
        <v>421513</v>
      </c>
      <c r="CR15" s="119">
        <v>194</v>
      </c>
      <c r="CS15" s="119">
        <f t="shared" ref="CS15" si="183">CQ15+CR15</f>
        <v>421707</v>
      </c>
      <c r="CT15" s="121">
        <f>CS15-CO15</f>
        <v>-700</v>
      </c>
      <c r="CU15" s="118">
        <v>421513</v>
      </c>
      <c r="CV15" s="119">
        <v>1082</v>
      </c>
      <c r="CW15" s="119">
        <f t="shared" ref="CW15" si="184">CU15+CV15</f>
        <v>422595</v>
      </c>
      <c r="CX15" s="121">
        <f>CW15-CS15</f>
        <v>888</v>
      </c>
      <c r="CY15" s="118">
        <v>421513</v>
      </c>
      <c r="CZ15" s="119">
        <v>1191</v>
      </c>
      <c r="DA15" s="119">
        <f t="shared" ref="DA15" si="185">CY15+CZ15</f>
        <v>422704</v>
      </c>
      <c r="DB15" s="121">
        <f t="shared" ref="DB15" si="186">DA15-CW15</f>
        <v>109</v>
      </c>
      <c r="DC15" s="118">
        <v>421513</v>
      </c>
      <c r="DD15" s="119">
        <v>417</v>
      </c>
      <c r="DE15" s="119">
        <f t="shared" ref="DE15" si="187">DC15+DD15</f>
        <v>421930</v>
      </c>
      <c r="DF15" s="121">
        <f t="shared" ref="DF15" si="188">DE15-DA15</f>
        <v>-774</v>
      </c>
      <c r="DG15" s="254"/>
      <c r="DH15" s="240"/>
      <c r="DI15" s="240"/>
      <c r="DJ15" s="240"/>
      <c r="DK15" s="254"/>
      <c r="DL15" s="240"/>
      <c r="DM15" s="240"/>
      <c r="DN15" s="240"/>
      <c r="DO15" s="118">
        <v>421513</v>
      </c>
      <c r="DP15" s="119">
        <v>1082</v>
      </c>
      <c r="DQ15" s="119">
        <f t="shared" ref="DQ15" si="189">DO15+DP15</f>
        <v>422595</v>
      </c>
      <c r="DR15" s="120"/>
      <c r="DS15" s="118">
        <v>421513</v>
      </c>
      <c r="DT15" s="119">
        <v>214</v>
      </c>
      <c r="DU15" s="119">
        <f t="shared" ref="DU15" si="190">DS15+DT15</f>
        <v>421727</v>
      </c>
      <c r="DV15" s="120">
        <f>DU15-DQ15</f>
        <v>-868</v>
      </c>
      <c r="DW15" s="118">
        <v>421513</v>
      </c>
      <c r="DX15" s="119">
        <v>6623</v>
      </c>
      <c r="DY15" s="119">
        <f t="shared" ref="DY15" si="191">DW15+DX15</f>
        <v>428136</v>
      </c>
      <c r="DZ15" s="120">
        <f>DY15-DU15</f>
        <v>6409</v>
      </c>
      <c r="EA15" s="118">
        <v>421513</v>
      </c>
      <c r="EB15" s="119">
        <v>1441</v>
      </c>
      <c r="EC15" s="119">
        <f t="shared" ref="EC15" si="192">EA15+EB15</f>
        <v>422954</v>
      </c>
      <c r="ED15" s="120">
        <f>EC15-DY15</f>
        <v>-5182</v>
      </c>
      <c r="EE15" s="118">
        <v>421513</v>
      </c>
      <c r="EF15" s="119">
        <v>1744</v>
      </c>
      <c r="EG15" s="119">
        <f t="shared" ref="EG15" si="193">EE15+EF15</f>
        <v>423257</v>
      </c>
      <c r="EH15" s="120">
        <f>EG15-EC15</f>
        <v>303</v>
      </c>
      <c r="EI15" s="118">
        <v>421513</v>
      </c>
      <c r="EJ15" s="119">
        <v>176</v>
      </c>
      <c r="EK15" s="119">
        <f t="shared" ref="EK15" si="194">EI15+EJ15</f>
        <v>421689</v>
      </c>
      <c r="EL15" s="120">
        <f>EK15-EG15</f>
        <v>-1568</v>
      </c>
      <c r="EM15" s="271"/>
      <c r="EN15" s="271"/>
      <c r="EO15" s="118">
        <v>421513</v>
      </c>
      <c r="EP15" s="119">
        <v>1744</v>
      </c>
      <c r="EQ15" s="119">
        <f t="shared" ref="EQ15" si="195">EO15+EP15</f>
        <v>423257</v>
      </c>
      <c r="ER15" s="120">
        <f>EQ15-EM15</f>
        <v>423257</v>
      </c>
      <c r="ES15" s="118">
        <v>421513</v>
      </c>
      <c r="ET15" s="119">
        <v>1744</v>
      </c>
      <c r="EU15" s="119">
        <f t="shared" ref="EU15" si="196">ES15+ET15</f>
        <v>423257</v>
      </c>
      <c r="EV15" s="120">
        <f>EU15-EQ15</f>
        <v>0</v>
      </c>
      <c r="EW15" s="260"/>
      <c r="EX15" s="260"/>
      <c r="EY15" s="260"/>
      <c r="EZ15" s="260"/>
      <c r="FA15" s="14">
        <v>421513</v>
      </c>
      <c r="FB15" s="13">
        <v>4524</v>
      </c>
      <c r="FC15" s="119">
        <f t="shared" ref="FC15:FC16" si="197">FA15+FB15</f>
        <v>426037</v>
      </c>
      <c r="FD15" s="121"/>
      <c r="FE15" s="14">
        <v>421513</v>
      </c>
      <c r="FF15" s="13">
        <v>9697</v>
      </c>
      <c r="FG15" s="119">
        <f t="shared" ref="FG15:FG16" si="198">FE15+FF15</f>
        <v>431210</v>
      </c>
      <c r="FH15" s="13">
        <f>FG15-FC15</f>
        <v>5173</v>
      </c>
      <c r="FI15" s="14">
        <v>421513</v>
      </c>
      <c r="FJ15" s="13">
        <v>146</v>
      </c>
      <c r="FK15" s="119">
        <f t="shared" ref="FK15:FK16" si="199">FI15+FJ15</f>
        <v>421659</v>
      </c>
      <c r="FL15" s="13">
        <f>FK15-FG15</f>
        <v>-9551</v>
      </c>
      <c r="FM15" s="260"/>
      <c r="FN15" s="260"/>
      <c r="FO15" s="260"/>
      <c r="FP15" s="260"/>
      <c r="FQ15" s="14"/>
      <c r="FR15" s="13"/>
      <c r="FS15" s="14"/>
      <c r="FT15" s="13"/>
      <c r="FU15" s="14">
        <v>421513</v>
      </c>
      <c r="FV15" s="13">
        <v>61</v>
      </c>
      <c r="FW15" s="119">
        <f t="shared" ref="FW15:FW16" si="200">FU15+FV15</f>
        <v>421574</v>
      </c>
      <c r="FX15" s="13"/>
      <c r="FZ15" s="118"/>
      <c r="GA15" s="119"/>
      <c r="GB15" s="119"/>
      <c r="GC15" s="120"/>
      <c r="GD15" s="260"/>
      <c r="GE15" s="260"/>
      <c r="GF15" s="260"/>
      <c r="GG15" s="260"/>
      <c r="GH15" s="14">
        <v>421513</v>
      </c>
      <c r="GI15" s="13">
        <v>4112</v>
      </c>
      <c r="GJ15" s="119">
        <f t="shared" ref="GJ15:GJ16" si="201">GH15+GI15</f>
        <v>425625</v>
      </c>
      <c r="GK15" s="120"/>
      <c r="GL15" s="14">
        <v>421513</v>
      </c>
      <c r="GM15" s="13">
        <v>4524</v>
      </c>
      <c r="GN15" s="119">
        <f t="shared" ref="GN15:GN16" si="202">GL15+GM15</f>
        <v>426037</v>
      </c>
      <c r="GO15" s="120">
        <f t="shared" ref="GO15:GO16" si="203">GN15-GJ15</f>
        <v>412</v>
      </c>
      <c r="GP15" s="260"/>
      <c r="GQ15" s="260"/>
      <c r="GR15" s="260"/>
      <c r="GS15" s="260"/>
      <c r="GT15" s="14">
        <v>421513</v>
      </c>
      <c r="GU15" s="13">
        <v>1082</v>
      </c>
      <c r="GV15" s="119">
        <f t="shared" ref="GV15:GV16" si="204">GT15+GU15</f>
        <v>422595</v>
      </c>
      <c r="GW15" s="120"/>
      <c r="GX15" s="14">
        <v>421513</v>
      </c>
      <c r="GY15" s="13">
        <v>1191</v>
      </c>
      <c r="GZ15" s="119">
        <f t="shared" ref="GZ15:GZ16" si="205">GX15+GY15</f>
        <v>422704</v>
      </c>
      <c r="HA15" s="120">
        <f t="shared" ref="HA15:HA16" si="206">GZ15-GV15</f>
        <v>109</v>
      </c>
      <c r="HB15" s="14">
        <v>421513</v>
      </c>
      <c r="HC15" s="13">
        <v>3398</v>
      </c>
      <c r="HD15" s="119">
        <f t="shared" ref="HD15:HD16" si="207">HB15+HC15</f>
        <v>424911</v>
      </c>
      <c r="HE15" s="120">
        <f t="shared" ref="HE15:HE16" si="208">HD15-GZ15</f>
        <v>2207</v>
      </c>
      <c r="HF15" s="14">
        <v>421513</v>
      </c>
      <c r="HG15" s="13">
        <v>6021</v>
      </c>
      <c r="HH15" s="119">
        <f t="shared" ref="HH15:HH16" si="209">HF15+HG15</f>
        <v>427534</v>
      </c>
      <c r="HI15" s="120">
        <f t="shared" ref="HI15:HI16" si="210">HH15-HD15</f>
        <v>2623</v>
      </c>
      <c r="HJ15" s="14">
        <v>421513</v>
      </c>
      <c r="HK15" s="13">
        <v>3398</v>
      </c>
      <c r="HL15" s="119">
        <f t="shared" ref="HL15:HL16" si="211">HJ15+HK15</f>
        <v>424911</v>
      </c>
      <c r="HM15" s="120">
        <f t="shared" ref="HM15:HM16" si="212">HL15-HH15</f>
        <v>-2623</v>
      </c>
      <c r="HN15" s="14">
        <v>421513</v>
      </c>
      <c r="HO15" s="13">
        <v>344</v>
      </c>
      <c r="HP15" s="119">
        <f t="shared" ref="HP15:HP16" si="213">HN15+HO15</f>
        <v>421857</v>
      </c>
      <c r="HQ15" s="120">
        <f t="shared" ref="HQ15:HQ16" si="214">HP15-HL15</f>
        <v>-3054</v>
      </c>
      <c r="HR15" s="254"/>
      <c r="HS15" s="240"/>
      <c r="HT15" s="240"/>
      <c r="HU15" s="255"/>
      <c r="HV15" s="14">
        <v>421513</v>
      </c>
      <c r="HW15" s="13">
        <v>68</v>
      </c>
      <c r="HX15" s="119">
        <f t="shared" ref="HX15:HX16" si="215">HV15+HW15</f>
        <v>421581</v>
      </c>
      <c r="HY15" s="120"/>
      <c r="HZ15" s="14">
        <v>421513</v>
      </c>
      <c r="IA15" s="13">
        <v>109</v>
      </c>
      <c r="IB15" s="119">
        <f t="shared" ref="IB15:IB16" si="216">HZ15+IA15</f>
        <v>421622</v>
      </c>
      <c r="IC15" s="120">
        <f t="shared" ref="IC15:IC16" si="217">IB15-HX15</f>
        <v>41</v>
      </c>
      <c r="ID15" s="14">
        <v>421513</v>
      </c>
      <c r="IE15" s="13">
        <v>417</v>
      </c>
      <c r="IF15" s="119">
        <f t="shared" ref="IF15:IF16" si="218">ID15+IE15</f>
        <v>421930</v>
      </c>
      <c r="IG15" s="120">
        <f t="shared" ref="IG15:IG16" si="219">IF15-IB15</f>
        <v>308</v>
      </c>
      <c r="IH15" s="14">
        <v>421513</v>
      </c>
      <c r="II15" s="13">
        <v>672</v>
      </c>
      <c r="IJ15" s="119">
        <f t="shared" ref="IJ15:IJ16" si="220">IH15+II15</f>
        <v>422185</v>
      </c>
      <c r="IK15" s="120">
        <f t="shared" ref="IK15:IK16" si="221">IJ15-IF15</f>
        <v>255</v>
      </c>
      <c r="IL15" s="14">
        <v>421513</v>
      </c>
      <c r="IM15" s="13">
        <v>5474</v>
      </c>
      <c r="IN15" s="119">
        <f t="shared" ref="IN15:IN16" si="222">IL15+IM15</f>
        <v>426987</v>
      </c>
      <c r="IO15" s="120">
        <f t="shared" ref="IO15:IO16" si="223">IN15-IJ15</f>
        <v>4802</v>
      </c>
      <c r="IP15" s="254"/>
      <c r="IQ15" s="240"/>
      <c r="IR15" s="240"/>
      <c r="IS15" s="255"/>
      <c r="IT15" s="254"/>
      <c r="IU15" s="240"/>
      <c r="IV15" s="240"/>
      <c r="IW15" s="255"/>
      <c r="IX15" s="14">
        <v>421513</v>
      </c>
      <c r="IY15" s="13">
        <v>61</v>
      </c>
      <c r="IZ15" s="119">
        <f t="shared" ref="IZ15:IZ16" si="224">IX15+IY15</f>
        <v>421574</v>
      </c>
      <c r="JA15" s="120"/>
      <c r="JB15" s="14">
        <v>421513</v>
      </c>
      <c r="JC15" s="13">
        <v>611</v>
      </c>
      <c r="JD15" s="119">
        <f t="shared" ref="JD15:JD16" si="225">JB15+JC15</f>
        <v>422124</v>
      </c>
      <c r="JE15" s="120">
        <f t="shared" ref="JE15:JE16" si="226">JD15-IZ15</f>
        <v>550</v>
      </c>
      <c r="JF15" s="14">
        <v>421513</v>
      </c>
      <c r="JG15" s="13">
        <v>1441</v>
      </c>
      <c r="JH15" s="119">
        <f t="shared" ref="JH15:JH16" si="227">JF15+JG15</f>
        <v>422954</v>
      </c>
      <c r="JI15" s="120">
        <f t="shared" ref="JI15:JI16" si="228">JH15-JD15</f>
        <v>830</v>
      </c>
      <c r="JJ15" s="14">
        <v>421513</v>
      </c>
      <c r="JK15" s="13">
        <v>313</v>
      </c>
      <c r="JL15" s="119">
        <f t="shared" ref="JL15:JL16" si="229">JJ15+JK15</f>
        <v>421826</v>
      </c>
      <c r="JM15" s="120">
        <f t="shared" ref="JM15:JM16" si="230">JL15-JH15</f>
        <v>-1128</v>
      </c>
      <c r="JN15" s="14">
        <v>421513</v>
      </c>
      <c r="JO15" s="13">
        <v>2110</v>
      </c>
      <c r="JP15" s="119">
        <f t="shared" ref="JP15:JP16" si="231">JN15+JO15</f>
        <v>423623</v>
      </c>
      <c r="JQ15" s="120">
        <f t="shared" ref="JQ15:JQ16" si="232">JP15-JL15</f>
        <v>1797</v>
      </c>
      <c r="JR15" s="14"/>
      <c r="JS15" s="13"/>
      <c r="JT15" s="119"/>
      <c r="JU15" s="120"/>
      <c r="JV15" s="254"/>
      <c r="JW15" s="240"/>
      <c r="JX15" s="240"/>
      <c r="JY15" s="255"/>
      <c r="JZ15" s="14">
        <v>421513</v>
      </c>
      <c r="KA15" s="13">
        <v>1082</v>
      </c>
      <c r="KB15" s="119">
        <f t="shared" ref="KB15:KB16" si="233">JZ15+KA15</f>
        <v>422595</v>
      </c>
      <c r="KC15" s="120">
        <f t="shared" ref="KC15:KC16" si="234">KB15-JX15</f>
        <v>422595</v>
      </c>
      <c r="KD15" s="14">
        <v>421513</v>
      </c>
      <c r="KE15" s="13">
        <v>672</v>
      </c>
      <c r="KF15" s="119">
        <f t="shared" ref="KF15:KF16" si="235">KD15+KE15</f>
        <v>422185</v>
      </c>
      <c r="KG15" s="120">
        <f t="shared" ref="KG15:KG16" si="236">KF15-KB15</f>
        <v>-410</v>
      </c>
      <c r="KH15" s="14">
        <v>421513</v>
      </c>
      <c r="KI15" s="13">
        <v>813</v>
      </c>
      <c r="KJ15" s="119">
        <f t="shared" ref="KJ15:KJ16" si="237">KH15+KI15</f>
        <v>422326</v>
      </c>
      <c r="KK15" s="120">
        <f t="shared" ref="KK15:KK16" si="238">KJ15-KF15</f>
        <v>141</v>
      </c>
      <c r="KL15" s="14">
        <v>421513</v>
      </c>
      <c r="KM15" s="13">
        <v>344</v>
      </c>
      <c r="KN15" s="119">
        <f t="shared" ref="KN15:KN16" si="239">KL15+KM15</f>
        <v>421857</v>
      </c>
      <c r="KO15" s="120">
        <f t="shared" ref="KO15:KO16" si="240">KN15-KJ15</f>
        <v>-469</v>
      </c>
      <c r="KP15" s="14">
        <v>421513</v>
      </c>
      <c r="KQ15" s="13">
        <v>56</v>
      </c>
      <c r="KR15" s="119">
        <f t="shared" ref="KR15:KR16" si="241">KP15+KQ15</f>
        <v>421569</v>
      </c>
      <c r="KS15" s="120">
        <f t="shared" ref="KS15:KS16" si="242">KR15-KN15</f>
        <v>-288</v>
      </c>
      <c r="KU15" s="14">
        <v>421513</v>
      </c>
      <c r="KV15" s="13">
        <v>56</v>
      </c>
      <c r="KW15" s="119">
        <f t="shared" ref="KW15:KW16" si="243">KU15+KV15</f>
        <v>421569</v>
      </c>
      <c r="KX15" s="120">
        <f t="shared" ref="KX15:KX16" si="244">KW15-KS15</f>
        <v>421857</v>
      </c>
      <c r="KY15" s="260"/>
      <c r="KZ15" s="260"/>
      <c r="LA15" s="260"/>
      <c r="LB15" s="260"/>
      <c r="LC15" s="260"/>
      <c r="LD15" s="260"/>
      <c r="LE15" s="260"/>
      <c r="LF15" s="260"/>
      <c r="LG15" s="14">
        <v>421513</v>
      </c>
      <c r="LH15" s="13">
        <v>1082</v>
      </c>
      <c r="LI15" s="119">
        <f>LG15-LH15</f>
        <v>420431</v>
      </c>
      <c r="LJ15" s="120"/>
      <c r="LK15" s="14"/>
      <c r="LL15" s="13"/>
      <c r="LM15" s="119"/>
      <c r="LN15" s="120"/>
      <c r="LO15" s="260"/>
      <c r="LP15" s="260"/>
      <c r="LQ15" s="260"/>
      <c r="LR15" s="260"/>
      <c r="LS15" s="260"/>
      <c r="LT15" s="260"/>
      <c r="LU15" s="260"/>
      <c r="LV15" s="260"/>
      <c r="LW15" s="14">
        <v>421513</v>
      </c>
      <c r="LX15" s="13">
        <v>1744</v>
      </c>
      <c r="LY15" s="119">
        <f>LW15-LX15</f>
        <v>419769</v>
      </c>
      <c r="LZ15" s="120"/>
      <c r="MA15" s="260"/>
      <c r="MB15" s="260"/>
      <c r="MC15" s="260"/>
      <c r="MD15" s="260"/>
      <c r="ME15" s="14">
        <v>421513</v>
      </c>
      <c r="MF15" s="13">
        <v>1744</v>
      </c>
      <c r="MG15" s="119">
        <f>ME15-MF15</f>
        <v>419769</v>
      </c>
      <c r="MH15" s="120"/>
      <c r="MI15" s="14">
        <v>421513</v>
      </c>
      <c r="MJ15" s="13">
        <v>813</v>
      </c>
      <c r="MK15" s="119">
        <f>MI15-MJ15</f>
        <v>420700</v>
      </c>
      <c r="ML15" s="120">
        <f t="shared" ref="ML15:ML16" si="245">MK15-MG15</f>
        <v>931</v>
      </c>
      <c r="MM15" s="14">
        <v>421513</v>
      </c>
      <c r="MN15" s="13">
        <v>6021</v>
      </c>
      <c r="MO15" s="119">
        <f>MM15-MN15</f>
        <v>415492</v>
      </c>
      <c r="MP15" s="120">
        <f t="shared" ref="MP15:MP16" si="246">MO15-MK15</f>
        <v>-5208</v>
      </c>
      <c r="MQ15" s="14">
        <v>421513</v>
      </c>
      <c r="MR15" s="13">
        <v>1441</v>
      </c>
      <c r="MS15" s="119">
        <f>MQ15-MR15</f>
        <v>420072</v>
      </c>
      <c r="MT15" s="120">
        <f t="shared" ref="MT15:MT16" si="247">MS15-MO15</f>
        <v>4580</v>
      </c>
      <c r="MU15" s="14">
        <v>421513</v>
      </c>
      <c r="MV15" s="13">
        <v>1441</v>
      </c>
      <c r="MW15" s="119">
        <f>MU15-MV15</f>
        <v>420072</v>
      </c>
      <c r="MX15" s="120">
        <f t="shared" ref="MX15:MX16" si="248">MW15-MS15</f>
        <v>0</v>
      </c>
      <c r="MY15" s="260"/>
      <c r="MZ15" s="260"/>
      <c r="NA15" s="260"/>
      <c r="NB15" s="260"/>
      <c r="NC15" s="260"/>
      <c r="ND15" s="260"/>
      <c r="NE15" s="260"/>
      <c r="NF15" s="260"/>
      <c r="NG15" s="14">
        <v>421513</v>
      </c>
      <c r="NH15" s="13">
        <v>2321</v>
      </c>
      <c r="NI15" s="119"/>
      <c r="NJ15" s="120"/>
      <c r="NK15" s="14">
        <v>421513</v>
      </c>
      <c r="NL15" s="13">
        <v>2321</v>
      </c>
      <c r="NM15" s="119"/>
      <c r="NN15" s="120"/>
      <c r="NO15" s="14">
        <v>421513</v>
      </c>
      <c r="NP15" s="13">
        <v>2553</v>
      </c>
      <c r="NQ15" s="157">
        <f t="shared" si="92"/>
        <v>424066</v>
      </c>
      <c r="NR15" s="120"/>
      <c r="NS15" s="14">
        <v>421513</v>
      </c>
      <c r="NT15" s="13">
        <v>4976</v>
      </c>
      <c r="NU15" s="157">
        <f t="shared" si="93"/>
        <v>426489</v>
      </c>
      <c r="NV15" s="120"/>
      <c r="NW15" s="260"/>
      <c r="NX15" s="260"/>
      <c r="NY15" s="260"/>
      <c r="NZ15" s="260"/>
      <c r="OA15" s="14">
        <v>421513</v>
      </c>
      <c r="OB15" s="13">
        <v>4976</v>
      </c>
      <c r="OC15" s="157">
        <f t="shared" si="94"/>
        <v>426489</v>
      </c>
      <c r="OD15" s="120"/>
      <c r="OE15" s="260"/>
      <c r="OF15" s="260"/>
      <c r="OG15" s="260"/>
      <c r="OH15" s="260"/>
      <c r="OI15" s="14">
        <v>421513</v>
      </c>
      <c r="OJ15" s="13">
        <v>2110</v>
      </c>
      <c r="OK15" s="119">
        <v>423623</v>
      </c>
      <c r="OL15" s="120"/>
      <c r="OM15" s="14">
        <v>421513</v>
      </c>
      <c r="ON15" s="13">
        <v>2110</v>
      </c>
      <c r="OO15" s="119">
        <v>423623</v>
      </c>
      <c r="OP15" s="120"/>
      <c r="OQ15" s="14">
        <v>421513</v>
      </c>
      <c r="OR15" s="13">
        <v>2110</v>
      </c>
      <c r="OS15" s="119">
        <v>423623</v>
      </c>
      <c r="OT15" s="120"/>
      <c r="OU15" s="14">
        <v>421513</v>
      </c>
      <c r="OV15" s="13">
        <v>6021</v>
      </c>
      <c r="OW15" s="119">
        <v>427534</v>
      </c>
      <c r="OX15" s="120"/>
      <c r="OY15" s="14">
        <v>421513</v>
      </c>
      <c r="OZ15" s="13">
        <v>6021</v>
      </c>
      <c r="PA15" s="119">
        <v>427534</v>
      </c>
      <c r="PB15" s="120"/>
      <c r="PC15" s="14">
        <v>421513</v>
      </c>
      <c r="PD15" s="13">
        <v>1441</v>
      </c>
      <c r="PE15" s="119">
        <v>422954</v>
      </c>
      <c r="PF15" s="120"/>
      <c r="PG15" s="14"/>
      <c r="PH15" s="13"/>
      <c r="PI15" s="119"/>
      <c r="PJ15" s="120"/>
      <c r="PK15" s="14">
        <v>421513</v>
      </c>
      <c r="PL15" s="13">
        <v>1441</v>
      </c>
      <c r="PM15" s="119">
        <v>422954</v>
      </c>
      <c r="PN15" s="120"/>
      <c r="PP15" s="14">
        <v>421513</v>
      </c>
      <c r="PQ15" s="13">
        <v>4524</v>
      </c>
      <c r="PR15" s="119">
        <v>426037</v>
      </c>
      <c r="PS15" s="120"/>
      <c r="PT15" s="14">
        <v>421513</v>
      </c>
      <c r="PU15" s="13">
        <v>4524</v>
      </c>
      <c r="PV15" s="119">
        <v>426037</v>
      </c>
      <c r="PW15" s="120"/>
      <c r="PX15" s="14">
        <v>421513</v>
      </c>
      <c r="PY15" s="13">
        <v>4524</v>
      </c>
      <c r="PZ15" s="119">
        <v>426037</v>
      </c>
      <c r="QA15" s="120"/>
      <c r="QB15" s="14">
        <v>421513</v>
      </c>
      <c r="QC15" s="13">
        <v>4524</v>
      </c>
      <c r="QD15" s="119">
        <v>426037</v>
      </c>
      <c r="QE15" s="120"/>
      <c r="QF15" s="14">
        <v>421513</v>
      </c>
      <c r="QG15" s="13">
        <v>2808</v>
      </c>
      <c r="QH15" s="119">
        <v>424322</v>
      </c>
      <c r="QI15" s="120"/>
      <c r="QJ15" s="290"/>
      <c r="QK15" s="290"/>
      <c r="QL15" s="290"/>
      <c r="QM15" s="290"/>
      <c r="QN15" s="14">
        <v>421513</v>
      </c>
      <c r="QO15" s="13">
        <v>6021</v>
      </c>
      <c r="QP15" s="119">
        <v>427534</v>
      </c>
      <c r="QQ15" s="120"/>
      <c r="QR15" s="14">
        <v>421513</v>
      </c>
      <c r="QS15" s="13">
        <v>6021</v>
      </c>
      <c r="QT15" s="119">
        <v>427534</v>
      </c>
      <c r="QU15" s="120"/>
      <c r="QV15" s="14">
        <v>421513</v>
      </c>
      <c r="QW15" s="13">
        <v>6021</v>
      </c>
      <c r="QX15" s="119">
        <v>427534</v>
      </c>
      <c r="QY15" s="120"/>
      <c r="QZ15" s="14">
        <v>421513</v>
      </c>
      <c r="RA15" s="13">
        <v>6021</v>
      </c>
      <c r="RB15" s="119">
        <v>427534</v>
      </c>
      <c r="RC15" s="120"/>
      <c r="RD15" s="14">
        <v>421513</v>
      </c>
      <c r="RE15" s="13">
        <v>6021</v>
      </c>
      <c r="RF15" s="119">
        <v>427534</v>
      </c>
      <c r="RG15" s="120"/>
      <c r="RH15" s="14">
        <v>421513</v>
      </c>
      <c r="RI15" s="13">
        <v>6021</v>
      </c>
      <c r="RJ15" s="119">
        <v>427534</v>
      </c>
      <c r="RK15" s="120"/>
      <c r="RL15" s="240"/>
      <c r="RM15" s="240"/>
      <c r="RN15" s="240"/>
      <c r="RO15" s="240"/>
      <c r="RP15" s="14">
        <v>421513</v>
      </c>
      <c r="RQ15" s="13">
        <v>6021</v>
      </c>
      <c r="RR15" s="119">
        <v>427534</v>
      </c>
      <c r="RS15" s="120"/>
      <c r="RT15" s="14">
        <v>421513</v>
      </c>
      <c r="RU15" s="13">
        <v>6021</v>
      </c>
      <c r="RV15" s="119">
        <v>427534</v>
      </c>
      <c r="RW15" s="120"/>
      <c r="RX15" s="14">
        <v>421513</v>
      </c>
      <c r="RY15" s="13">
        <v>5474</v>
      </c>
      <c r="RZ15" s="119">
        <v>426987</v>
      </c>
      <c r="SA15" s="120"/>
    </row>
    <row r="16" spans="1:495" x14ac:dyDescent="0.3">
      <c r="A16" s="292">
        <v>11</v>
      </c>
      <c r="B16" s="4" t="s">
        <v>24</v>
      </c>
      <c r="C16" s="6" t="s">
        <v>51</v>
      </c>
      <c r="D16" s="283"/>
      <c r="E16" s="14"/>
      <c r="F16" s="192"/>
      <c r="G16" s="35"/>
      <c r="H16" s="43"/>
      <c r="I16" s="44"/>
      <c r="J16" s="43"/>
      <c r="K16" s="44"/>
      <c r="L16" s="43"/>
      <c r="M16" s="44"/>
      <c r="N16" s="43"/>
      <c r="O16" s="44"/>
      <c r="P16" s="43"/>
      <c r="Q16" s="44"/>
      <c r="R16" s="232"/>
      <c r="S16" s="233"/>
      <c r="T16" s="43"/>
      <c r="U16" s="35"/>
      <c r="V16" s="43"/>
      <c r="W16" s="44"/>
      <c r="X16" s="38"/>
      <c r="Y16" s="13"/>
      <c r="Z16" s="13"/>
      <c r="AA16" s="35"/>
      <c r="AB16" s="43"/>
      <c r="AC16" s="44"/>
      <c r="AD16" s="38"/>
      <c r="AE16" s="13"/>
      <c r="AF16" s="232"/>
      <c r="AG16" s="233"/>
      <c r="AH16" s="14"/>
      <c r="AI16" s="13"/>
      <c r="AJ16" s="14"/>
      <c r="AK16" s="13"/>
      <c r="AL16" s="232"/>
      <c r="AM16" s="233"/>
      <c r="AN16" s="232"/>
      <c r="AO16" s="233"/>
      <c r="AP16" s="14"/>
      <c r="AQ16" s="13"/>
      <c r="AR16" s="14"/>
      <c r="AS16" s="13"/>
      <c r="AT16" s="285"/>
      <c r="AU16" s="285"/>
      <c r="AV16" s="14"/>
      <c r="AW16" s="13"/>
      <c r="AX16" s="14"/>
      <c r="AY16" s="13"/>
      <c r="AZ16" s="14"/>
      <c r="BA16" s="13"/>
      <c r="BB16" s="14"/>
      <c r="BC16" s="13"/>
      <c r="BD16" s="14"/>
      <c r="BE16" s="13"/>
      <c r="BF16" s="14"/>
      <c r="BG16" s="13"/>
      <c r="BH16" s="269"/>
      <c r="BI16" s="269"/>
      <c r="BJ16" s="18"/>
      <c r="BK16" s="118"/>
      <c r="BL16" s="119"/>
      <c r="BM16" s="119"/>
      <c r="BN16" s="120"/>
      <c r="BO16" s="118"/>
      <c r="BP16" s="119"/>
      <c r="BQ16" s="119"/>
      <c r="BR16" s="120"/>
      <c r="BS16" s="118"/>
      <c r="BT16" s="119"/>
      <c r="BU16" s="119"/>
      <c r="BV16" s="120"/>
      <c r="BW16" s="118"/>
      <c r="BX16" s="119"/>
      <c r="BY16" s="119"/>
      <c r="BZ16" s="120"/>
      <c r="CA16" s="118"/>
      <c r="CB16" s="119"/>
      <c r="CC16" s="119"/>
      <c r="CD16" s="135"/>
      <c r="CE16" s="118"/>
      <c r="CF16" s="119"/>
      <c r="CG16" s="119"/>
      <c r="CH16" s="120"/>
      <c r="CI16" s="254"/>
      <c r="CJ16" s="240"/>
      <c r="CK16" s="240"/>
      <c r="CL16" s="255"/>
      <c r="CM16" s="118"/>
      <c r="CN16" s="119"/>
      <c r="CO16" s="119"/>
      <c r="CP16" s="120"/>
      <c r="CQ16" s="118"/>
      <c r="CR16" s="119"/>
      <c r="CS16" s="119"/>
      <c r="CT16" s="121"/>
      <c r="CU16" s="118"/>
      <c r="CV16" s="119"/>
      <c r="CW16" s="119"/>
      <c r="CX16" s="121"/>
      <c r="CY16" s="118"/>
      <c r="CZ16" s="119"/>
      <c r="DA16" s="119"/>
      <c r="DB16" s="121"/>
      <c r="DC16" s="118"/>
      <c r="DD16" s="119"/>
      <c r="DE16" s="119"/>
      <c r="DF16" s="121"/>
      <c r="DG16" s="254"/>
      <c r="DH16" s="240"/>
      <c r="DI16" s="240"/>
      <c r="DJ16" s="240"/>
      <c r="DK16" s="254"/>
      <c r="DL16" s="240"/>
      <c r="DM16" s="240"/>
      <c r="DN16" s="240"/>
      <c r="DO16" s="118"/>
      <c r="DP16" s="119"/>
      <c r="DQ16" s="119"/>
      <c r="DR16" s="120"/>
      <c r="DS16" s="118"/>
      <c r="DT16" s="119"/>
      <c r="DU16" s="119"/>
      <c r="DV16" s="120"/>
      <c r="DW16" s="136"/>
      <c r="DX16" s="136"/>
      <c r="DY16" s="136"/>
      <c r="DZ16" s="135"/>
      <c r="EA16" s="136"/>
      <c r="EB16" s="136"/>
      <c r="EC16" s="136"/>
      <c r="ED16" s="135"/>
      <c r="EE16" s="136"/>
      <c r="EF16" s="119"/>
      <c r="EG16" s="119"/>
      <c r="EH16" s="135"/>
      <c r="EI16" s="136"/>
      <c r="EJ16" s="119"/>
      <c r="EK16" s="119"/>
      <c r="EL16" s="135"/>
      <c r="EM16" s="271"/>
      <c r="EN16" s="271"/>
      <c r="EO16" s="136"/>
      <c r="EP16" s="119"/>
      <c r="EQ16" s="119"/>
      <c r="ER16" s="135"/>
      <c r="ES16" s="136"/>
      <c r="ET16" s="119"/>
      <c r="EU16" s="119"/>
      <c r="EV16" s="135"/>
      <c r="EW16" s="260"/>
      <c r="EX16" s="260"/>
      <c r="EY16" s="260"/>
      <c r="EZ16" s="260"/>
      <c r="FA16" s="14">
        <v>22464</v>
      </c>
      <c r="FB16" s="13">
        <v>1</v>
      </c>
      <c r="FC16" s="119">
        <f t="shared" si="197"/>
        <v>22465</v>
      </c>
      <c r="FD16" s="137"/>
      <c r="FE16" s="14">
        <v>22464</v>
      </c>
      <c r="FF16" s="13">
        <v>1</v>
      </c>
      <c r="FG16" s="119">
        <f t="shared" si="198"/>
        <v>22465</v>
      </c>
      <c r="FH16" s="13">
        <f>FG16-FC16</f>
        <v>0</v>
      </c>
      <c r="FI16" s="14">
        <v>22464</v>
      </c>
      <c r="FJ16" s="13">
        <v>160</v>
      </c>
      <c r="FK16" s="119">
        <f t="shared" si="199"/>
        <v>22624</v>
      </c>
      <c r="FL16" s="13">
        <f>FK16-FG16</f>
        <v>159</v>
      </c>
      <c r="FM16" s="260"/>
      <c r="FN16" s="260"/>
      <c r="FO16" s="260"/>
      <c r="FP16" s="260"/>
      <c r="FQ16" s="14"/>
      <c r="FR16" s="13"/>
      <c r="FS16" s="14"/>
      <c r="FT16" s="13"/>
      <c r="FU16" s="14">
        <v>22464</v>
      </c>
      <c r="FV16" s="13">
        <v>611</v>
      </c>
      <c r="FW16" s="119">
        <f t="shared" si="200"/>
        <v>23075</v>
      </c>
      <c r="FX16" s="13"/>
      <c r="FZ16" s="118"/>
      <c r="GA16" s="119"/>
      <c r="GB16" s="119"/>
      <c r="GC16" s="120"/>
      <c r="GD16" s="260"/>
      <c r="GE16" s="260"/>
      <c r="GF16" s="260"/>
      <c r="GG16" s="260"/>
      <c r="GH16" s="14">
        <v>22464</v>
      </c>
      <c r="GI16" s="13">
        <v>984</v>
      </c>
      <c r="GJ16" s="119">
        <f t="shared" si="201"/>
        <v>23448</v>
      </c>
      <c r="GK16" s="120"/>
      <c r="GL16" s="14">
        <v>22464</v>
      </c>
      <c r="GM16" s="13">
        <v>984</v>
      </c>
      <c r="GN16" s="119">
        <f t="shared" si="202"/>
        <v>23448</v>
      </c>
      <c r="GO16" s="120">
        <f t="shared" si="203"/>
        <v>0</v>
      </c>
      <c r="GP16" s="260"/>
      <c r="GQ16" s="260"/>
      <c r="GR16" s="260"/>
      <c r="GS16" s="260"/>
      <c r="GT16" s="14">
        <v>22464</v>
      </c>
      <c r="GU16" s="13">
        <v>1441</v>
      </c>
      <c r="GV16" s="119">
        <f t="shared" si="204"/>
        <v>23905</v>
      </c>
      <c r="GW16" s="120"/>
      <c r="GX16" s="14">
        <v>22464</v>
      </c>
      <c r="GY16" s="13">
        <v>1585</v>
      </c>
      <c r="GZ16" s="119">
        <f t="shared" si="205"/>
        <v>24049</v>
      </c>
      <c r="HA16" s="120">
        <f t="shared" si="206"/>
        <v>144</v>
      </c>
      <c r="HB16" s="14">
        <v>22464</v>
      </c>
      <c r="HC16" s="13">
        <v>1585</v>
      </c>
      <c r="HD16" s="119">
        <f t="shared" si="207"/>
        <v>24049</v>
      </c>
      <c r="HE16" s="120">
        <f t="shared" si="208"/>
        <v>0</v>
      </c>
      <c r="HF16" s="14">
        <v>22464</v>
      </c>
      <c r="HG16" s="13">
        <v>1744</v>
      </c>
      <c r="HH16" s="119">
        <f t="shared" si="209"/>
        <v>24208</v>
      </c>
      <c r="HI16" s="120">
        <f t="shared" si="210"/>
        <v>159</v>
      </c>
      <c r="HJ16" s="14">
        <v>22464</v>
      </c>
      <c r="HK16" s="13">
        <v>1918</v>
      </c>
      <c r="HL16" s="119">
        <f t="shared" si="211"/>
        <v>24382</v>
      </c>
      <c r="HM16" s="120">
        <f t="shared" si="212"/>
        <v>174</v>
      </c>
      <c r="HN16" s="14">
        <v>22464</v>
      </c>
      <c r="HO16" s="13">
        <v>2210</v>
      </c>
      <c r="HP16" s="119">
        <f t="shared" si="213"/>
        <v>24674</v>
      </c>
      <c r="HQ16" s="120">
        <f t="shared" si="214"/>
        <v>292</v>
      </c>
      <c r="HR16" s="254"/>
      <c r="HS16" s="240"/>
      <c r="HT16" s="240"/>
      <c r="HU16" s="255"/>
      <c r="HV16" s="14">
        <v>22464</v>
      </c>
      <c r="HW16" s="13">
        <v>2210</v>
      </c>
      <c r="HX16" s="119">
        <f t="shared" si="215"/>
        <v>24674</v>
      </c>
      <c r="HY16" s="120"/>
      <c r="HZ16" s="14">
        <v>22464</v>
      </c>
      <c r="IA16" s="13">
        <v>2321</v>
      </c>
      <c r="IB16" s="119">
        <f t="shared" si="216"/>
        <v>24785</v>
      </c>
      <c r="IC16" s="120">
        <f t="shared" si="217"/>
        <v>111</v>
      </c>
      <c r="ID16" s="14">
        <v>22464</v>
      </c>
      <c r="IE16" s="13">
        <v>2321</v>
      </c>
      <c r="IF16" s="119">
        <f t="shared" si="218"/>
        <v>24785</v>
      </c>
      <c r="IG16" s="120">
        <f t="shared" si="219"/>
        <v>0</v>
      </c>
      <c r="IH16" s="14">
        <v>22464</v>
      </c>
      <c r="II16" s="13">
        <v>2553</v>
      </c>
      <c r="IJ16" s="119">
        <f t="shared" si="220"/>
        <v>25017</v>
      </c>
      <c r="IK16" s="120">
        <f t="shared" si="221"/>
        <v>232</v>
      </c>
      <c r="IL16" s="14">
        <v>22464</v>
      </c>
      <c r="IM16" s="13">
        <v>2553</v>
      </c>
      <c r="IN16" s="119">
        <f t="shared" si="222"/>
        <v>25017</v>
      </c>
      <c r="IO16" s="120">
        <f t="shared" si="223"/>
        <v>0</v>
      </c>
      <c r="IP16" s="254"/>
      <c r="IQ16" s="240"/>
      <c r="IR16" s="240"/>
      <c r="IS16" s="255"/>
      <c r="IT16" s="254"/>
      <c r="IU16" s="240"/>
      <c r="IV16" s="240"/>
      <c r="IW16" s="255"/>
      <c r="IX16" s="14">
        <v>22464</v>
      </c>
      <c r="IY16" s="13">
        <v>2808</v>
      </c>
      <c r="IZ16" s="119">
        <f t="shared" si="224"/>
        <v>25272</v>
      </c>
      <c r="JA16" s="120"/>
      <c r="JB16" s="14">
        <v>22464</v>
      </c>
      <c r="JC16" s="13">
        <v>17</v>
      </c>
      <c r="JD16" s="119">
        <f t="shared" si="225"/>
        <v>22481</v>
      </c>
      <c r="JE16" s="120">
        <f t="shared" si="226"/>
        <v>-2791</v>
      </c>
      <c r="JF16" s="14">
        <v>22464</v>
      </c>
      <c r="JG16" s="13">
        <v>2808</v>
      </c>
      <c r="JH16" s="119">
        <f t="shared" si="227"/>
        <v>25272</v>
      </c>
      <c r="JI16" s="120">
        <f t="shared" si="228"/>
        <v>2791</v>
      </c>
      <c r="JJ16" s="14">
        <v>22464</v>
      </c>
      <c r="JK16" s="13">
        <v>3089</v>
      </c>
      <c r="JL16" s="119">
        <f t="shared" si="229"/>
        <v>25553</v>
      </c>
      <c r="JM16" s="120">
        <f t="shared" si="230"/>
        <v>281</v>
      </c>
      <c r="JN16" s="14">
        <v>22464</v>
      </c>
      <c r="JO16" s="13">
        <v>3089</v>
      </c>
      <c r="JP16" s="119">
        <f t="shared" si="231"/>
        <v>25553</v>
      </c>
      <c r="JQ16" s="120">
        <f t="shared" si="232"/>
        <v>0</v>
      </c>
      <c r="JR16" s="14"/>
      <c r="JS16" s="13"/>
      <c r="JT16" s="119"/>
      <c r="JU16" s="120"/>
      <c r="JV16" s="254"/>
      <c r="JW16" s="240"/>
      <c r="JX16" s="240"/>
      <c r="JY16" s="255"/>
      <c r="JZ16" s="14">
        <v>22464</v>
      </c>
      <c r="KA16" s="13">
        <v>23</v>
      </c>
      <c r="KB16" s="119">
        <f t="shared" si="233"/>
        <v>22487</v>
      </c>
      <c r="KC16" s="120">
        <f t="shared" si="234"/>
        <v>22487</v>
      </c>
      <c r="KD16" s="118">
        <v>22464</v>
      </c>
      <c r="KE16" s="119">
        <v>109</v>
      </c>
      <c r="KF16" s="119">
        <f t="shared" si="235"/>
        <v>22573</v>
      </c>
      <c r="KG16" s="120">
        <f t="shared" si="236"/>
        <v>86</v>
      </c>
      <c r="KH16" s="118">
        <v>22464</v>
      </c>
      <c r="KI16" s="119">
        <v>194</v>
      </c>
      <c r="KJ16" s="119">
        <f t="shared" si="237"/>
        <v>22658</v>
      </c>
      <c r="KK16" s="120">
        <f t="shared" si="238"/>
        <v>85</v>
      </c>
      <c r="KL16" s="118">
        <v>22464</v>
      </c>
      <c r="KM16" s="119">
        <v>194</v>
      </c>
      <c r="KN16" s="119">
        <f t="shared" si="239"/>
        <v>22658</v>
      </c>
      <c r="KO16" s="120">
        <f t="shared" si="240"/>
        <v>0</v>
      </c>
      <c r="KP16" s="118">
        <v>22464</v>
      </c>
      <c r="KQ16" s="119">
        <v>379</v>
      </c>
      <c r="KR16" s="119">
        <f t="shared" si="241"/>
        <v>22843</v>
      </c>
      <c r="KS16" s="120">
        <f t="shared" si="242"/>
        <v>185</v>
      </c>
      <c r="KU16" s="118">
        <v>22464</v>
      </c>
      <c r="KV16" s="119">
        <v>379</v>
      </c>
      <c r="KW16" s="119">
        <f t="shared" si="243"/>
        <v>22843</v>
      </c>
      <c r="KX16" s="120">
        <f t="shared" si="244"/>
        <v>22658</v>
      </c>
      <c r="KY16" s="260"/>
      <c r="KZ16" s="260"/>
      <c r="LA16" s="260"/>
      <c r="LB16" s="260"/>
      <c r="LC16" s="260"/>
      <c r="LD16" s="260"/>
      <c r="LE16" s="260"/>
      <c r="LF16" s="260"/>
      <c r="LG16" s="14">
        <v>22464</v>
      </c>
      <c r="LH16" s="13">
        <v>739</v>
      </c>
      <c r="LI16" s="119">
        <f>LG16-LH16</f>
        <v>21725</v>
      </c>
      <c r="LJ16" s="120"/>
      <c r="LK16" s="14"/>
      <c r="LL16" s="13"/>
      <c r="LM16" s="119"/>
      <c r="LN16" s="120"/>
      <c r="LO16" s="260"/>
      <c r="LP16" s="260"/>
      <c r="LQ16" s="260"/>
      <c r="LR16" s="260"/>
      <c r="LS16" s="260"/>
      <c r="LT16" s="260"/>
      <c r="LU16" s="260"/>
      <c r="LV16" s="260"/>
      <c r="LW16" s="14">
        <v>22464</v>
      </c>
      <c r="LX16" s="13">
        <v>1082</v>
      </c>
      <c r="LY16" s="119">
        <f>LW16-LX16</f>
        <v>21382</v>
      </c>
      <c r="LZ16" s="120"/>
      <c r="MA16" s="260"/>
      <c r="MB16" s="260"/>
      <c r="MC16" s="260"/>
      <c r="MD16" s="260"/>
      <c r="ME16" s="14">
        <v>22464</v>
      </c>
      <c r="MF16" s="13">
        <v>1082</v>
      </c>
      <c r="MG16" s="119">
        <f>ME16-MF16</f>
        <v>21382</v>
      </c>
      <c r="MH16" s="120"/>
      <c r="MI16" s="14">
        <v>22464</v>
      </c>
      <c r="MJ16" s="13">
        <v>1310</v>
      </c>
      <c r="MK16" s="119">
        <f>MI16-MJ16</f>
        <v>21154</v>
      </c>
      <c r="ML16" s="120">
        <f t="shared" si="245"/>
        <v>-228</v>
      </c>
      <c r="MM16" s="14">
        <v>22464</v>
      </c>
      <c r="MN16" s="13">
        <v>1441</v>
      </c>
      <c r="MO16" s="119">
        <f>MM16-MN16</f>
        <v>21023</v>
      </c>
      <c r="MP16" s="120">
        <f t="shared" si="246"/>
        <v>-131</v>
      </c>
      <c r="MQ16" s="14">
        <v>22464</v>
      </c>
      <c r="MR16" s="13">
        <v>1585</v>
      </c>
      <c r="MS16" s="119">
        <f>MQ16-MR16</f>
        <v>20879</v>
      </c>
      <c r="MT16" s="120">
        <f t="shared" si="247"/>
        <v>-144</v>
      </c>
      <c r="MU16" s="14">
        <v>22464</v>
      </c>
      <c r="MV16" s="13">
        <v>1585</v>
      </c>
      <c r="MW16" s="119">
        <f>MU16-MV16</f>
        <v>20879</v>
      </c>
      <c r="MX16" s="120">
        <f t="shared" si="248"/>
        <v>0</v>
      </c>
      <c r="MY16" s="260"/>
      <c r="MZ16" s="260"/>
      <c r="NA16" s="260"/>
      <c r="NB16" s="260"/>
      <c r="NC16" s="260"/>
      <c r="ND16" s="260"/>
      <c r="NE16" s="260"/>
      <c r="NF16" s="260"/>
      <c r="NG16" s="14">
        <v>22464</v>
      </c>
      <c r="NH16" s="13">
        <v>146</v>
      </c>
      <c r="NI16" s="119"/>
      <c r="NJ16" s="120"/>
      <c r="NK16" s="14">
        <v>22464</v>
      </c>
      <c r="NL16" s="13">
        <v>146</v>
      </c>
      <c r="NM16" s="119"/>
      <c r="NN16" s="120"/>
      <c r="NO16" s="14">
        <v>22464</v>
      </c>
      <c r="NP16" s="13">
        <v>313</v>
      </c>
      <c r="NQ16" s="157">
        <f t="shared" si="92"/>
        <v>22777</v>
      </c>
      <c r="NR16" s="120"/>
      <c r="NS16" s="14">
        <v>22464</v>
      </c>
      <c r="NT16" s="13">
        <v>417</v>
      </c>
      <c r="NU16" s="157">
        <f t="shared" si="93"/>
        <v>22881</v>
      </c>
      <c r="NV16" s="120"/>
      <c r="NW16" s="260"/>
      <c r="NX16" s="260"/>
      <c r="NY16" s="260"/>
      <c r="NZ16" s="260"/>
      <c r="OA16" s="14">
        <v>22464</v>
      </c>
      <c r="OB16" s="13">
        <v>417</v>
      </c>
      <c r="OC16" s="157">
        <f t="shared" si="94"/>
        <v>22881</v>
      </c>
      <c r="OD16" s="120"/>
      <c r="OE16" s="260"/>
      <c r="OF16" s="260"/>
      <c r="OG16" s="260"/>
      <c r="OH16" s="260"/>
      <c r="OI16" s="14">
        <v>10602</v>
      </c>
      <c r="OJ16" s="13">
        <v>1</v>
      </c>
      <c r="OK16" s="119">
        <v>10603</v>
      </c>
      <c r="OL16" s="120"/>
      <c r="OM16" s="14">
        <v>10602</v>
      </c>
      <c r="ON16" s="13">
        <v>1</v>
      </c>
      <c r="OO16" s="119">
        <v>10603</v>
      </c>
      <c r="OP16" s="120"/>
      <c r="OQ16" s="14">
        <v>10602</v>
      </c>
      <c r="OR16" s="13">
        <v>1</v>
      </c>
      <c r="OS16" s="119">
        <v>10603</v>
      </c>
      <c r="OT16" s="120"/>
      <c r="OU16" s="14">
        <v>22464</v>
      </c>
      <c r="OV16" s="13">
        <v>1082</v>
      </c>
      <c r="OW16" s="119">
        <v>23547</v>
      </c>
      <c r="OX16" s="120"/>
      <c r="OY16" s="14">
        <v>22464</v>
      </c>
      <c r="OZ16" s="13">
        <v>1082</v>
      </c>
      <c r="PA16" s="119">
        <v>23547</v>
      </c>
      <c r="PB16" s="120"/>
      <c r="PC16" s="118">
        <v>22464</v>
      </c>
      <c r="PD16" s="119">
        <v>1191</v>
      </c>
      <c r="PE16" s="119">
        <v>23655</v>
      </c>
      <c r="PF16" s="120"/>
      <c r="PG16" s="118"/>
      <c r="PH16" s="119"/>
      <c r="PI16" s="119"/>
      <c r="PJ16" s="120"/>
      <c r="PK16" s="118">
        <v>22464</v>
      </c>
      <c r="PL16" s="119">
        <v>1191</v>
      </c>
      <c r="PM16" s="119">
        <v>23655</v>
      </c>
      <c r="PN16" s="120"/>
      <c r="PP16" s="118">
        <v>22464</v>
      </c>
      <c r="PQ16" s="119">
        <v>1441</v>
      </c>
      <c r="PR16" s="119">
        <v>23905</v>
      </c>
      <c r="PS16" s="120"/>
      <c r="PT16" s="118">
        <v>22464</v>
      </c>
      <c r="PU16" s="119">
        <v>1441</v>
      </c>
      <c r="PV16" s="119">
        <v>23905</v>
      </c>
      <c r="PW16" s="120"/>
      <c r="PX16" s="118">
        <v>22464</v>
      </c>
      <c r="PY16" s="119">
        <v>1441</v>
      </c>
      <c r="PZ16" s="119">
        <v>23905</v>
      </c>
      <c r="QA16" s="120"/>
      <c r="QB16" s="118">
        <v>22464</v>
      </c>
      <c r="QC16" s="119">
        <v>1441</v>
      </c>
      <c r="QD16" s="119">
        <v>23905</v>
      </c>
      <c r="QE16" s="120"/>
      <c r="QF16" s="118">
        <v>22464</v>
      </c>
      <c r="QG16" s="119">
        <v>1744</v>
      </c>
      <c r="QH16" s="119">
        <v>24208</v>
      </c>
      <c r="QI16" s="120"/>
      <c r="QJ16" s="290"/>
      <c r="QK16" s="290"/>
      <c r="QL16" s="290"/>
      <c r="QM16" s="290"/>
      <c r="QN16" s="118">
        <v>22464</v>
      </c>
      <c r="QO16" s="119">
        <v>2110</v>
      </c>
      <c r="QP16" s="119">
        <v>24574</v>
      </c>
      <c r="QQ16" s="120"/>
      <c r="QR16" s="118">
        <v>22464</v>
      </c>
      <c r="QS16" s="119">
        <v>2110</v>
      </c>
      <c r="QT16" s="119">
        <v>24574</v>
      </c>
      <c r="QU16" s="120"/>
      <c r="QV16" s="118">
        <v>22464</v>
      </c>
      <c r="QW16" s="119">
        <v>2110</v>
      </c>
      <c r="QX16" s="119">
        <v>24574</v>
      </c>
      <c r="QY16" s="120"/>
      <c r="QZ16" s="118">
        <v>22464</v>
      </c>
      <c r="RA16" s="119">
        <v>2110</v>
      </c>
      <c r="RB16" s="119">
        <v>24574</v>
      </c>
      <c r="RC16" s="120"/>
      <c r="RD16" s="118">
        <v>22464</v>
      </c>
      <c r="RE16" s="119">
        <v>2110</v>
      </c>
      <c r="RF16" s="119">
        <v>24574</v>
      </c>
      <c r="RG16" s="120"/>
      <c r="RH16" s="118">
        <v>22464</v>
      </c>
      <c r="RI16" s="119">
        <v>2110</v>
      </c>
      <c r="RJ16" s="119">
        <v>24574</v>
      </c>
      <c r="RK16" s="120"/>
      <c r="RL16" s="240"/>
      <c r="RM16" s="240"/>
      <c r="RN16" s="240"/>
      <c r="RO16" s="240"/>
      <c r="RP16" s="118">
        <v>22464</v>
      </c>
      <c r="RQ16" s="119">
        <v>2110</v>
      </c>
      <c r="RR16" s="119">
        <v>24574</v>
      </c>
      <c r="RS16" s="120"/>
      <c r="RT16" s="118">
        <v>22464</v>
      </c>
      <c r="RU16" s="119">
        <v>2110</v>
      </c>
      <c r="RV16" s="119">
        <v>24574</v>
      </c>
      <c r="RW16" s="120"/>
      <c r="RX16" s="118">
        <v>22464</v>
      </c>
      <c r="RY16" s="119">
        <v>2808</v>
      </c>
      <c r="RZ16" s="119">
        <v>25273</v>
      </c>
      <c r="SA16" s="120"/>
    </row>
    <row r="17" spans="1:495" x14ac:dyDescent="0.3">
      <c r="A17" s="291">
        <v>12</v>
      </c>
      <c r="B17" s="25" t="s">
        <v>22</v>
      </c>
      <c r="C17" s="26" t="s">
        <v>47</v>
      </c>
      <c r="D17" s="283"/>
      <c r="E17" s="27">
        <v>18817</v>
      </c>
      <c r="F17" s="192"/>
      <c r="G17" s="36">
        <v>19875</v>
      </c>
      <c r="H17" s="46">
        <v>22205</v>
      </c>
      <c r="I17" s="47">
        <f t="shared" si="0"/>
        <v>2330</v>
      </c>
      <c r="J17" s="46">
        <v>23783</v>
      </c>
      <c r="K17" s="47">
        <f>J17-H17</f>
        <v>1578</v>
      </c>
      <c r="L17" s="46">
        <v>26093</v>
      </c>
      <c r="M17" s="47">
        <f>L17-J17</f>
        <v>2310</v>
      </c>
      <c r="N17" s="46">
        <f>18807+8816</f>
        <v>27623</v>
      </c>
      <c r="O17" s="47">
        <f>N17-L17</f>
        <v>1530</v>
      </c>
      <c r="P17" s="46">
        <f>18807+10667</f>
        <v>29474</v>
      </c>
      <c r="Q17" s="47">
        <f>P17-N17</f>
        <v>1851</v>
      </c>
      <c r="R17" s="232"/>
      <c r="S17" s="233"/>
      <c r="T17" s="46">
        <f>18807+14198</f>
        <v>33005</v>
      </c>
      <c r="U17" s="36">
        <f>T17-P17</f>
        <v>3531</v>
      </c>
      <c r="V17" s="46">
        <f>18807+9</f>
        <v>18816</v>
      </c>
      <c r="W17" s="47">
        <f>V17-T17</f>
        <v>-14189</v>
      </c>
      <c r="X17" s="39">
        <f>18807+984</f>
        <v>19791</v>
      </c>
      <c r="Y17" s="32">
        <f>X17-V17</f>
        <v>975</v>
      </c>
      <c r="Z17" s="32">
        <f>18807+2321</f>
        <v>21128</v>
      </c>
      <c r="AA17" s="36">
        <f>Z17-X17</f>
        <v>1337</v>
      </c>
      <c r="AB17" s="46">
        <f>18807+4524</f>
        <v>23331</v>
      </c>
      <c r="AC17" s="47">
        <f>AB17-Z17</f>
        <v>2203</v>
      </c>
      <c r="AD17" s="27">
        <f>18807+6021</f>
        <v>24828</v>
      </c>
      <c r="AE17" s="32">
        <f>AD17-AB17</f>
        <v>1497</v>
      </c>
      <c r="AF17" s="232"/>
      <c r="AG17" s="233"/>
      <c r="AH17" s="27"/>
      <c r="AI17" s="32"/>
      <c r="AJ17" s="27"/>
      <c r="AK17" s="32"/>
      <c r="AL17" s="232"/>
      <c r="AM17" s="233"/>
      <c r="AN17" s="232"/>
      <c r="AO17" s="233"/>
      <c r="AP17" s="27"/>
      <c r="AQ17" s="32"/>
      <c r="AR17" s="27"/>
      <c r="AS17" s="32"/>
      <c r="AT17" s="285"/>
      <c r="AU17" s="285"/>
      <c r="AV17" s="27"/>
      <c r="AW17" s="32"/>
      <c r="AX17" s="27"/>
      <c r="AY17" s="32"/>
      <c r="AZ17" s="27"/>
      <c r="BA17" s="32"/>
      <c r="BB17" s="27"/>
      <c r="BC17" s="32"/>
      <c r="BD17" s="27"/>
      <c r="BE17" s="32"/>
      <c r="BF17" s="27"/>
      <c r="BG17" s="32"/>
      <c r="BH17" s="269"/>
      <c r="BI17" s="269"/>
      <c r="BJ17" s="18"/>
      <c r="BK17" s="113"/>
      <c r="BL17" s="114"/>
      <c r="BM17" s="114"/>
      <c r="BN17" s="115"/>
      <c r="BO17" s="113"/>
      <c r="BP17" s="114"/>
      <c r="BQ17" s="114"/>
      <c r="BR17" s="115"/>
      <c r="BS17" s="113"/>
      <c r="BT17" s="114"/>
      <c r="BU17" s="114"/>
      <c r="BV17" s="115"/>
      <c r="BW17" s="113">
        <v>19361</v>
      </c>
      <c r="BX17" s="114">
        <v>3090</v>
      </c>
      <c r="BY17" s="114">
        <f>BW17+BX17</f>
        <v>22451</v>
      </c>
      <c r="BZ17" s="115"/>
      <c r="CA17" s="113">
        <v>19372</v>
      </c>
      <c r="CB17" s="114">
        <v>3089</v>
      </c>
      <c r="CC17" s="114">
        <f t="shared" ref="CC17" si="249">CA17+CB17</f>
        <v>22461</v>
      </c>
      <c r="CD17" s="115">
        <f>CC17-BY17</f>
        <v>10</v>
      </c>
      <c r="CE17" s="113">
        <v>19374</v>
      </c>
      <c r="CF17" s="114">
        <v>3089</v>
      </c>
      <c r="CG17" s="114">
        <f t="shared" ref="CG17" si="250">CE17+CF17</f>
        <v>22463</v>
      </c>
      <c r="CH17" s="115">
        <f>CG17-CC17</f>
        <v>2</v>
      </c>
      <c r="CI17" s="254"/>
      <c r="CJ17" s="240"/>
      <c r="CK17" s="240"/>
      <c r="CL17" s="255"/>
      <c r="CM17" s="113">
        <v>19374</v>
      </c>
      <c r="CN17" s="114">
        <v>3089</v>
      </c>
      <c r="CO17" s="114">
        <f t="shared" ref="CO17:CO18" si="251">CM17+CN17</f>
        <v>22463</v>
      </c>
      <c r="CP17" s="115">
        <f>CO17-CG17</f>
        <v>0</v>
      </c>
      <c r="CQ17" s="113">
        <v>19374</v>
      </c>
      <c r="CR17" s="114">
        <v>3089</v>
      </c>
      <c r="CS17" s="114">
        <f t="shared" ref="CS17" si="252">CQ17+CR17</f>
        <v>22463</v>
      </c>
      <c r="CT17" s="115">
        <f>CS17-CO17</f>
        <v>0</v>
      </c>
      <c r="CU17" s="113">
        <v>19382</v>
      </c>
      <c r="CV17" s="114">
        <v>3089</v>
      </c>
      <c r="CW17" s="114">
        <f t="shared" ref="CW17" si="253">CU17+CV17</f>
        <v>22471</v>
      </c>
      <c r="CX17" s="115">
        <f>CW17-CS17</f>
        <v>8</v>
      </c>
      <c r="CY17" s="113">
        <v>19398</v>
      </c>
      <c r="CZ17" s="114">
        <v>3089</v>
      </c>
      <c r="DA17" s="114">
        <f t="shared" ref="DA17" si="254">CY17+CZ17</f>
        <v>22487</v>
      </c>
      <c r="DB17" s="115">
        <f>DA17-CW17</f>
        <v>16</v>
      </c>
      <c r="DC17" s="113">
        <v>19401</v>
      </c>
      <c r="DD17" s="114">
        <v>3089</v>
      </c>
      <c r="DE17" s="114">
        <f t="shared" ref="DE17" si="255">DC17+DD17</f>
        <v>22490</v>
      </c>
      <c r="DF17" s="115">
        <f>DE17-DA17</f>
        <v>3</v>
      </c>
      <c r="DG17" s="254"/>
      <c r="DH17" s="240"/>
      <c r="DI17" s="240"/>
      <c r="DJ17" s="240"/>
      <c r="DK17" s="254"/>
      <c r="DL17" s="240"/>
      <c r="DM17" s="240"/>
      <c r="DN17" s="240"/>
      <c r="DO17" s="113">
        <v>19418</v>
      </c>
      <c r="DP17" s="114">
        <v>3089</v>
      </c>
      <c r="DQ17" s="114">
        <f t="shared" ref="DQ17" si="256">DO17+DP17</f>
        <v>22507</v>
      </c>
      <c r="DR17" s="115"/>
      <c r="DS17" s="113">
        <v>19429</v>
      </c>
      <c r="DT17" s="114">
        <v>3089</v>
      </c>
      <c r="DU17" s="114">
        <f t="shared" ref="DU17" si="257">DS17+DT17</f>
        <v>22518</v>
      </c>
      <c r="DV17" s="115">
        <f>DU17-DQ17</f>
        <v>11</v>
      </c>
      <c r="DW17" s="113">
        <v>19436</v>
      </c>
      <c r="DX17" s="114">
        <v>3089</v>
      </c>
      <c r="DY17" s="114">
        <f t="shared" ref="DY17:DY20" si="258">DW17+DX17</f>
        <v>22525</v>
      </c>
      <c r="DZ17" s="115">
        <f>DY17-DU17</f>
        <v>7</v>
      </c>
      <c r="EA17" s="113">
        <v>19436</v>
      </c>
      <c r="EB17" s="114">
        <v>3089</v>
      </c>
      <c r="EC17" s="114">
        <f t="shared" ref="EC17" si="259">EA17+EB17</f>
        <v>22525</v>
      </c>
      <c r="ED17" s="115">
        <f>EC17-DY17</f>
        <v>0</v>
      </c>
      <c r="EE17" s="113">
        <v>19452</v>
      </c>
      <c r="EF17" s="114">
        <v>3089</v>
      </c>
      <c r="EG17" s="114">
        <f t="shared" ref="EG17" si="260">EE17+EF17</f>
        <v>22541</v>
      </c>
      <c r="EH17" s="115">
        <f>EG17-EC17</f>
        <v>16</v>
      </c>
      <c r="EI17" s="113">
        <v>19471</v>
      </c>
      <c r="EJ17" s="114">
        <v>3089</v>
      </c>
      <c r="EK17" s="114">
        <f t="shared" ref="EK17" si="261">EI17+EJ17</f>
        <v>22560</v>
      </c>
      <c r="EL17" s="115">
        <f>EK17-EG17</f>
        <v>19</v>
      </c>
      <c r="EM17" s="271"/>
      <c r="EN17" s="271"/>
      <c r="EO17" s="113">
        <v>19472</v>
      </c>
      <c r="EP17" s="114">
        <v>3089</v>
      </c>
      <c r="EQ17" s="114">
        <f t="shared" ref="EQ17" si="262">EO17+EP17</f>
        <v>22561</v>
      </c>
      <c r="ER17" s="115">
        <f>EQ17-EK17</f>
        <v>1</v>
      </c>
      <c r="ES17" s="113">
        <v>19472</v>
      </c>
      <c r="ET17" s="114">
        <v>3089</v>
      </c>
      <c r="EU17" s="114">
        <f t="shared" ref="EU17:EU20" si="263">ES17+ET17</f>
        <v>22561</v>
      </c>
      <c r="EV17" s="115">
        <f>EU17-EO17</f>
        <v>3089</v>
      </c>
      <c r="EW17" s="260"/>
      <c r="EX17" s="260"/>
      <c r="EY17" s="260"/>
      <c r="EZ17" s="260"/>
      <c r="FA17" s="113">
        <v>19507</v>
      </c>
      <c r="FB17" s="114">
        <v>3089</v>
      </c>
      <c r="FC17" s="114">
        <f t="shared" ref="FC17:FC19" si="264">FA17+FB17</f>
        <v>22596</v>
      </c>
      <c r="FD17" s="115"/>
      <c r="FE17" s="113">
        <v>19513</v>
      </c>
      <c r="FF17" s="114">
        <v>3089</v>
      </c>
      <c r="FG17" s="114">
        <f t="shared" ref="FG17" si="265">FE17+FF17</f>
        <v>22602</v>
      </c>
      <c r="FH17" s="115">
        <f>FG17-FC17</f>
        <v>6</v>
      </c>
      <c r="FI17" s="113">
        <v>19519</v>
      </c>
      <c r="FJ17" s="114">
        <v>3089</v>
      </c>
      <c r="FK17" s="114">
        <f t="shared" ref="FK17" si="266">FI17+FJ17</f>
        <v>22608</v>
      </c>
      <c r="FL17" s="115">
        <f>FK17-FG17</f>
        <v>6</v>
      </c>
      <c r="FM17" s="260"/>
      <c r="FN17" s="260"/>
      <c r="FO17" s="260"/>
      <c r="FP17" s="260"/>
      <c r="FQ17" s="27"/>
      <c r="FR17" s="32"/>
      <c r="FS17" s="27"/>
      <c r="FT17" s="32"/>
      <c r="FU17" s="113">
        <v>19554</v>
      </c>
      <c r="FV17" s="114">
        <v>3089</v>
      </c>
      <c r="FW17" s="114">
        <f t="shared" ref="FW17" si="267">FU17+FV17</f>
        <v>22643</v>
      </c>
      <c r="FX17" s="32"/>
      <c r="FZ17" s="113"/>
      <c r="GA17" s="114"/>
      <c r="GB17" s="114"/>
      <c r="GC17" s="115"/>
      <c r="GD17" s="260"/>
      <c r="GE17" s="260"/>
      <c r="GF17" s="260"/>
      <c r="GG17" s="260"/>
      <c r="GH17" s="113">
        <v>19592</v>
      </c>
      <c r="GI17" s="114">
        <v>3089</v>
      </c>
      <c r="GJ17" s="114">
        <f t="shared" ref="GJ17:GJ20" si="268">GH17+GI17</f>
        <v>22681</v>
      </c>
      <c r="GK17" s="115"/>
      <c r="GL17" s="113">
        <v>19593</v>
      </c>
      <c r="GM17" s="114">
        <v>3089</v>
      </c>
      <c r="GN17" s="114">
        <f t="shared" ref="GN17:GN20" si="269">GL17+GM17</f>
        <v>22682</v>
      </c>
      <c r="GO17" s="115">
        <f t="shared" ref="GO17:GO20" si="270">GN17-GJ17</f>
        <v>1</v>
      </c>
      <c r="GP17" s="260"/>
      <c r="GQ17" s="260"/>
      <c r="GR17" s="260"/>
      <c r="GS17" s="260"/>
      <c r="GT17" s="113">
        <v>19602</v>
      </c>
      <c r="GU17" s="114">
        <v>3089</v>
      </c>
      <c r="GV17" s="114">
        <f t="shared" ref="GV17:GV20" si="271">GT17+GU17</f>
        <v>22691</v>
      </c>
      <c r="GW17" s="115"/>
      <c r="GX17" s="113">
        <v>19615</v>
      </c>
      <c r="GY17" s="114">
        <v>3089</v>
      </c>
      <c r="GZ17" s="114">
        <f t="shared" ref="GZ17:GZ20" si="272">GX17+GY17</f>
        <v>22704</v>
      </c>
      <c r="HA17" s="115">
        <f t="shared" ref="HA17:HA20" si="273">GZ17-GV17</f>
        <v>13</v>
      </c>
      <c r="HB17" s="113">
        <v>19631</v>
      </c>
      <c r="HC17" s="114">
        <v>3089</v>
      </c>
      <c r="HD17" s="114">
        <f t="shared" ref="HD17:HD20" si="274">HB17+HC17</f>
        <v>22720</v>
      </c>
      <c r="HE17" s="115">
        <f t="shared" ref="HE17:HE20" si="275">HD17-GZ17</f>
        <v>16</v>
      </c>
      <c r="HF17" s="113">
        <v>19637</v>
      </c>
      <c r="HG17" s="114">
        <v>3089</v>
      </c>
      <c r="HH17" s="114">
        <f t="shared" ref="HH17:HH20" si="276">HF17+HG17</f>
        <v>22726</v>
      </c>
      <c r="HI17" s="115">
        <f t="shared" ref="HI17:HI20" si="277">HH17-HD17</f>
        <v>6</v>
      </c>
      <c r="HJ17" s="113">
        <v>19644</v>
      </c>
      <c r="HK17" s="114">
        <v>3089</v>
      </c>
      <c r="HL17" s="114">
        <f t="shared" ref="HL17:HL20" si="278">HJ17+HK17</f>
        <v>22733</v>
      </c>
      <c r="HM17" s="115">
        <f t="shared" ref="HM17:HM20" si="279">HL17-HH17</f>
        <v>7</v>
      </c>
      <c r="HN17" s="113">
        <v>19654</v>
      </c>
      <c r="HO17" s="114">
        <v>3089</v>
      </c>
      <c r="HP17" s="114">
        <f t="shared" ref="HP17:HP20" si="280">HN17+HO17</f>
        <v>22743</v>
      </c>
      <c r="HQ17" s="115">
        <f t="shared" ref="HQ17:HQ20" si="281">HP17-HL17</f>
        <v>10</v>
      </c>
      <c r="HR17" s="254"/>
      <c r="HS17" s="240"/>
      <c r="HT17" s="240"/>
      <c r="HU17" s="255"/>
      <c r="HV17" s="113">
        <v>19654</v>
      </c>
      <c r="HW17" s="114">
        <v>3089</v>
      </c>
      <c r="HX17" s="114">
        <f t="shared" ref="HX17:HX20" si="282">HV17+HW17</f>
        <v>22743</v>
      </c>
      <c r="HY17" s="115"/>
      <c r="HZ17" s="113">
        <v>19676</v>
      </c>
      <c r="IA17" s="114">
        <v>3089</v>
      </c>
      <c r="IB17" s="114">
        <f t="shared" ref="IB17:IB20" si="283">HZ17+IA17</f>
        <v>22765</v>
      </c>
      <c r="IC17" s="115">
        <f t="shared" ref="IC17" si="284">IB17-HX17</f>
        <v>22</v>
      </c>
      <c r="ID17" s="113">
        <v>19686</v>
      </c>
      <c r="IE17" s="114">
        <v>3089</v>
      </c>
      <c r="IF17" s="114">
        <f t="shared" ref="IF17:IF20" si="285">ID17+IE17</f>
        <v>22775</v>
      </c>
      <c r="IG17" s="115">
        <f>IF17-IB17</f>
        <v>10</v>
      </c>
      <c r="IH17" s="113">
        <v>21074</v>
      </c>
      <c r="II17" s="114">
        <v>3089</v>
      </c>
      <c r="IJ17" s="114">
        <f t="shared" ref="IJ17:IJ20" si="286">IH17+II17</f>
        <v>24163</v>
      </c>
      <c r="IK17" s="115">
        <f>IJ17-IF17</f>
        <v>1388</v>
      </c>
      <c r="IL17" s="113">
        <v>21074</v>
      </c>
      <c r="IM17" s="114">
        <v>3089</v>
      </c>
      <c r="IN17" s="114">
        <f t="shared" ref="IN17:IN20" si="287">IL17+IM17</f>
        <v>24163</v>
      </c>
      <c r="IO17" s="115">
        <f>IN17-IJ17</f>
        <v>0</v>
      </c>
      <c r="IP17" s="254"/>
      <c r="IQ17" s="240"/>
      <c r="IR17" s="240"/>
      <c r="IS17" s="255"/>
      <c r="IT17" s="254"/>
      <c r="IU17" s="240"/>
      <c r="IV17" s="240"/>
      <c r="IW17" s="255"/>
      <c r="IX17" s="113">
        <v>21074</v>
      </c>
      <c r="IY17" s="114">
        <v>3089</v>
      </c>
      <c r="IZ17" s="114">
        <f t="shared" ref="IZ17:IZ20" si="288">IX17+IY17</f>
        <v>24163</v>
      </c>
      <c r="JA17" s="115"/>
      <c r="JB17" s="113">
        <v>21163</v>
      </c>
      <c r="JC17" s="114">
        <v>3089</v>
      </c>
      <c r="JD17" s="114">
        <f t="shared" ref="JD17:JD20" si="289">JB17+JC17</f>
        <v>24252</v>
      </c>
      <c r="JE17" s="115">
        <f>JD17-IZ17</f>
        <v>89</v>
      </c>
      <c r="JF17" s="113">
        <v>21163</v>
      </c>
      <c r="JG17" s="114">
        <v>3089</v>
      </c>
      <c r="JH17" s="114">
        <f t="shared" ref="JH17:JH20" si="290">JF17+JG17</f>
        <v>24252</v>
      </c>
      <c r="JI17" s="115">
        <f>JH17-JD17</f>
        <v>0</v>
      </c>
      <c r="JJ17" s="113">
        <v>21190</v>
      </c>
      <c r="JK17" s="114">
        <v>3089</v>
      </c>
      <c r="JL17" s="114">
        <f t="shared" ref="JL17:JL20" si="291">JJ17+JK17</f>
        <v>24279</v>
      </c>
      <c r="JM17" s="115">
        <f>JL17-JH17</f>
        <v>27</v>
      </c>
      <c r="JN17" s="113">
        <v>21190</v>
      </c>
      <c r="JO17" s="114">
        <v>3089</v>
      </c>
      <c r="JP17" s="114">
        <f t="shared" ref="JP17:JP20" si="292">JN17+JO17</f>
        <v>24279</v>
      </c>
      <c r="JQ17" s="115">
        <f>JP17-JL17</f>
        <v>0</v>
      </c>
      <c r="JR17" s="113"/>
      <c r="JS17" s="114"/>
      <c r="JT17" s="114"/>
      <c r="JU17" s="115"/>
      <c r="JV17" s="254"/>
      <c r="JW17" s="240"/>
      <c r="JX17" s="240"/>
      <c r="JY17" s="255"/>
      <c r="JZ17" s="113">
        <v>22048</v>
      </c>
      <c r="KA17" s="114">
        <v>17180</v>
      </c>
      <c r="KB17" s="114">
        <f t="shared" ref="KB17:KB20" si="293">JZ17+KA17</f>
        <v>39228</v>
      </c>
      <c r="KC17" s="115">
        <f>KB17-JX17</f>
        <v>39228</v>
      </c>
      <c r="KD17" s="113">
        <v>22048</v>
      </c>
      <c r="KE17" s="114">
        <v>17180</v>
      </c>
      <c r="KF17" s="114">
        <f t="shared" ref="KF17:KF20" si="294">KD17+KE17</f>
        <v>39228</v>
      </c>
      <c r="KG17" s="115">
        <f>KF17-KB17</f>
        <v>0</v>
      </c>
      <c r="KH17" s="113">
        <v>22048</v>
      </c>
      <c r="KI17" s="114">
        <v>17180</v>
      </c>
      <c r="KJ17" s="114">
        <f>KH17+KI17</f>
        <v>39228</v>
      </c>
      <c r="KK17" s="115">
        <f>KJ17-KF17</f>
        <v>0</v>
      </c>
      <c r="KL17" s="113">
        <v>22048</v>
      </c>
      <c r="KM17" s="114">
        <v>17180</v>
      </c>
      <c r="KN17" s="114">
        <f>KL17+KM17</f>
        <v>39228</v>
      </c>
      <c r="KO17" s="115">
        <f>KN17-KJ17</f>
        <v>0</v>
      </c>
      <c r="KP17" s="113">
        <v>22048</v>
      </c>
      <c r="KQ17" s="114">
        <v>17180</v>
      </c>
      <c r="KR17" s="114">
        <f>KP17+KQ17</f>
        <v>39228</v>
      </c>
      <c r="KS17" s="115">
        <f>KR17-KN17</f>
        <v>0</v>
      </c>
      <c r="KU17" s="113">
        <v>22048</v>
      </c>
      <c r="KV17" s="114">
        <v>17180</v>
      </c>
      <c r="KW17" s="114">
        <f>KU17+KV17</f>
        <v>39228</v>
      </c>
      <c r="KX17" s="115">
        <f>KW17-KS17</f>
        <v>39228</v>
      </c>
      <c r="KY17" s="260"/>
      <c r="KZ17" s="260"/>
      <c r="LA17" s="260"/>
      <c r="LB17" s="260"/>
      <c r="LC17" s="260"/>
      <c r="LD17" s="260"/>
      <c r="LE17" s="260"/>
      <c r="LF17" s="260"/>
      <c r="LG17" s="113">
        <v>22048</v>
      </c>
      <c r="LH17" s="114">
        <v>17180</v>
      </c>
      <c r="LI17" s="114">
        <f t="shared" ref="LI17" si="295">LG17+LH17</f>
        <v>39228</v>
      </c>
      <c r="LJ17" s="115"/>
      <c r="LK17" s="113"/>
      <c r="LL17" s="114"/>
      <c r="LM17" s="114"/>
      <c r="LN17" s="115"/>
      <c r="LO17" s="260"/>
      <c r="LP17" s="260"/>
      <c r="LQ17" s="260"/>
      <c r="LR17" s="260"/>
      <c r="LS17" s="260"/>
      <c r="LT17" s="260"/>
      <c r="LU17" s="260"/>
      <c r="LV17" s="260"/>
      <c r="LW17" s="113">
        <v>22048</v>
      </c>
      <c r="LX17" s="114">
        <v>17180</v>
      </c>
      <c r="LY17" s="114">
        <f t="shared" ref="LY17:LY18" si="296">LW17+LX17</f>
        <v>39228</v>
      </c>
      <c r="LZ17" s="115"/>
      <c r="MA17" s="260"/>
      <c r="MB17" s="260"/>
      <c r="MC17" s="260"/>
      <c r="MD17" s="260"/>
      <c r="ME17" s="113">
        <v>22048</v>
      </c>
      <c r="MF17" s="114">
        <v>672</v>
      </c>
      <c r="MG17" s="114">
        <f t="shared" ref="MG17:MG18" si="297">ME17+MF17</f>
        <v>22720</v>
      </c>
      <c r="MH17" s="115"/>
      <c r="MI17" s="113">
        <v>22048</v>
      </c>
      <c r="MJ17" s="114">
        <v>672</v>
      </c>
      <c r="MK17" s="114">
        <f t="shared" ref="MK17:MK18" si="298">MI17+MJ17</f>
        <v>22720</v>
      </c>
      <c r="ML17" s="115">
        <f>MK17-MG17</f>
        <v>0</v>
      </c>
      <c r="MM17" s="113">
        <v>22048</v>
      </c>
      <c r="MN17" s="114">
        <v>739</v>
      </c>
      <c r="MO17" s="114">
        <f t="shared" ref="MO17:MO18" si="299">MM17+MN17</f>
        <v>22787</v>
      </c>
      <c r="MP17" s="115">
        <f>MO17-MK17</f>
        <v>67</v>
      </c>
      <c r="MQ17" s="113">
        <v>22048</v>
      </c>
      <c r="MR17" s="114">
        <v>739</v>
      </c>
      <c r="MS17" s="114">
        <f t="shared" ref="MS17:MS18" si="300">MQ17+MR17</f>
        <v>22787</v>
      </c>
      <c r="MT17" s="115">
        <f>MS17-MO17</f>
        <v>0</v>
      </c>
      <c r="MU17" s="113">
        <v>22048</v>
      </c>
      <c r="MV17" s="114">
        <v>739</v>
      </c>
      <c r="MW17" s="114">
        <f t="shared" ref="MW17:MW18" si="301">MU17+MV17</f>
        <v>22787</v>
      </c>
      <c r="MX17" s="115">
        <f>MW17-MS17</f>
        <v>0</v>
      </c>
      <c r="MY17" s="260"/>
      <c r="MZ17" s="260"/>
      <c r="NA17" s="260"/>
      <c r="NB17" s="260"/>
      <c r="NC17" s="260"/>
      <c r="ND17" s="260"/>
      <c r="NE17" s="260"/>
      <c r="NF17" s="260"/>
      <c r="NG17" s="113">
        <v>22048</v>
      </c>
      <c r="NH17" s="114">
        <v>739</v>
      </c>
      <c r="NI17" s="114"/>
      <c r="NJ17" s="115"/>
      <c r="NK17" s="113">
        <v>22048</v>
      </c>
      <c r="NL17" s="114">
        <v>739</v>
      </c>
      <c r="NM17" s="114"/>
      <c r="NN17" s="115"/>
      <c r="NO17" s="113">
        <v>22048</v>
      </c>
      <c r="NP17" s="114">
        <v>739</v>
      </c>
      <c r="NQ17" s="114">
        <f t="shared" si="92"/>
        <v>22787</v>
      </c>
      <c r="NR17" s="115"/>
      <c r="NS17" s="113">
        <v>22048</v>
      </c>
      <c r="NT17" s="114">
        <v>739</v>
      </c>
      <c r="NU17" s="114">
        <f t="shared" si="93"/>
        <v>22787</v>
      </c>
      <c r="NV17" s="115"/>
      <c r="NW17" s="260"/>
      <c r="NX17" s="260"/>
      <c r="NY17" s="260"/>
      <c r="NZ17" s="260"/>
      <c r="OA17" s="113">
        <v>22048</v>
      </c>
      <c r="OB17" s="114">
        <v>739</v>
      </c>
      <c r="OC17" s="114">
        <f t="shared" si="94"/>
        <v>22787</v>
      </c>
      <c r="OD17" s="115"/>
      <c r="OE17" s="260"/>
      <c r="OF17" s="260"/>
      <c r="OG17" s="260"/>
      <c r="OH17" s="260"/>
      <c r="OI17" s="113">
        <v>22048</v>
      </c>
      <c r="OJ17" s="114">
        <v>739</v>
      </c>
      <c r="OK17" s="114">
        <v>22787</v>
      </c>
      <c r="OL17" s="115"/>
      <c r="OM17" s="113">
        <v>22048</v>
      </c>
      <c r="ON17" s="114">
        <v>739</v>
      </c>
      <c r="OO17" s="114">
        <v>22787</v>
      </c>
      <c r="OP17" s="115"/>
      <c r="OQ17" s="113">
        <v>22048</v>
      </c>
      <c r="OR17" s="114">
        <v>739</v>
      </c>
      <c r="OS17" s="114">
        <v>22787</v>
      </c>
      <c r="OT17" s="115"/>
      <c r="OU17" s="113">
        <v>22048</v>
      </c>
      <c r="OV17" s="114">
        <v>5474</v>
      </c>
      <c r="OW17" s="114">
        <v>27522</v>
      </c>
      <c r="OX17" s="115"/>
      <c r="OY17" s="113">
        <v>22048</v>
      </c>
      <c r="OZ17" s="114">
        <v>5474</v>
      </c>
      <c r="PA17" s="114">
        <v>27522</v>
      </c>
      <c r="PB17" s="115"/>
      <c r="PC17" s="113">
        <v>22048</v>
      </c>
      <c r="PD17" s="114">
        <v>5474</v>
      </c>
      <c r="PE17" s="114">
        <v>27522</v>
      </c>
      <c r="PF17" s="115"/>
      <c r="PG17" s="113"/>
      <c r="PH17" s="114"/>
      <c r="PI17" s="114"/>
      <c r="PJ17" s="115"/>
      <c r="PK17" s="113">
        <v>22048</v>
      </c>
      <c r="PL17" s="114">
        <v>5474</v>
      </c>
      <c r="PM17" s="114">
        <v>27522</v>
      </c>
      <c r="PN17" s="115"/>
      <c r="PP17" s="113">
        <v>22048</v>
      </c>
      <c r="PQ17" s="114">
        <v>5474</v>
      </c>
      <c r="PR17" s="114">
        <v>27522</v>
      </c>
      <c r="PS17" s="115"/>
      <c r="PT17" s="113">
        <v>22048</v>
      </c>
      <c r="PU17" s="114">
        <v>5474</v>
      </c>
      <c r="PV17" s="114">
        <v>27522</v>
      </c>
      <c r="PW17" s="115"/>
      <c r="PX17" s="113">
        <v>22048</v>
      </c>
      <c r="PY17" s="114">
        <v>5474</v>
      </c>
      <c r="PZ17" s="114">
        <v>27522</v>
      </c>
      <c r="QA17" s="115"/>
      <c r="QB17" s="113">
        <v>22048</v>
      </c>
      <c r="QC17" s="114">
        <v>5474</v>
      </c>
      <c r="QD17" s="114">
        <v>27522</v>
      </c>
      <c r="QE17" s="115"/>
      <c r="QF17" s="113">
        <v>22048</v>
      </c>
      <c r="QG17" s="114">
        <v>5474</v>
      </c>
      <c r="QH17" s="114">
        <v>27522</v>
      </c>
      <c r="QI17" s="115"/>
      <c r="QJ17" s="290"/>
      <c r="QK17" s="290"/>
      <c r="QL17" s="290"/>
      <c r="QM17" s="290"/>
      <c r="QN17" s="113">
        <v>22048</v>
      </c>
      <c r="QO17" s="114">
        <v>5474</v>
      </c>
      <c r="QP17" s="114">
        <v>27522</v>
      </c>
      <c r="QQ17" s="115"/>
      <c r="QR17" s="113">
        <v>22048</v>
      </c>
      <c r="QS17" s="114">
        <v>5474</v>
      </c>
      <c r="QT17" s="114">
        <v>27522</v>
      </c>
      <c r="QU17" s="115"/>
      <c r="QV17" s="113">
        <v>22048</v>
      </c>
      <c r="QW17" s="114">
        <v>5474</v>
      </c>
      <c r="QX17" s="114">
        <v>27522</v>
      </c>
      <c r="QY17" s="115"/>
      <c r="QZ17" s="113">
        <v>22048</v>
      </c>
      <c r="RA17" s="114">
        <v>5474</v>
      </c>
      <c r="RB17" s="114">
        <v>27522</v>
      </c>
      <c r="RC17" s="115"/>
      <c r="RD17" s="113">
        <v>22048</v>
      </c>
      <c r="RE17" s="114">
        <v>5474</v>
      </c>
      <c r="RF17" s="114">
        <v>27522</v>
      </c>
      <c r="RG17" s="115"/>
      <c r="RH17" s="113">
        <v>22048</v>
      </c>
      <c r="RI17" s="114">
        <v>5474</v>
      </c>
      <c r="RJ17" s="114">
        <v>27522</v>
      </c>
      <c r="RK17" s="115"/>
      <c r="RL17" s="240"/>
      <c r="RM17" s="240"/>
      <c r="RN17" s="240"/>
      <c r="RO17" s="240"/>
      <c r="RP17" s="113">
        <v>22048</v>
      </c>
      <c r="RQ17" s="114">
        <v>5474</v>
      </c>
      <c r="RR17" s="114">
        <v>27522</v>
      </c>
      <c r="RS17" s="115"/>
      <c r="RT17" s="113">
        <v>22048</v>
      </c>
      <c r="RU17" s="114">
        <v>5474</v>
      </c>
      <c r="RV17" s="114">
        <v>27522</v>
      </c>
      <c r="RW17" s="115"/>
      <c r="RX17" s="113">
        <v>22048</v>
      </c>
      <c r="RY17" s="114">
        <v>5474</v>
      </c>
      <c r="RZ17" s="114">
        <v>27522</v>
      </c>
      <c r="SA17" s="115"/>
    </row>
    <row r="18" spans="1:495" s="153" customFormat="1" x14ac:dyDescent="0.3">
      <c r="A18" s="291">
        <v>13</v>
      </c>
      <c r="B18" s="150" t="s">
        <v>23</v>
      </c>
      <c r="C18" s="26" t="s">
        <v>50</v>
      </c>
      <c r="D18" s="283"/>
      <c r="E18" s="27">
        <v>226179</v>
      </c>
      <c r="F18" s="192"/>
      <c r="G18" s="36">
        <v>226179</v>
      </c>
      <c r="H18" s="46">
        <v>226179</v>
      </c>
      <c r="I18" s="47">
        <f t="shared" si="0"/>
        <v>0</v>
      </c>
      <c r="J18" s="46">
        <v>226179</v>
      </c>
      <c r="K18" s="47">
        <f t="shared" si="95"/>
        <v>0</v>
      </c>
      <c r="L18" s="46">
        <v>246655</v>
      </c>
      <c r="M18" s="47">
        <f>L18-J18</f>
        <v>20476</v>
      </c>
      <c r="N18" s="46">
        <f>21416+225239</f>
        <v>246655</v>
      </c>
      <c r="O18" s="47">
        <f>N18-L18</f>
        <v>0</v>
      </c>
      <c r="P18" s="46">
        <f>21416+225239</f>
        <v>246655</v>
      </c>
      <c r="Q18" s="47">
        <f>P18-N18</f>
        <v>0</v>
      </c>
      <c r="R18" s="232"/>
      <c r="S18" s="233"/>
      <c r="T18" s="156">
        <f>21416+225239</f>
        <v>246655</v>
      </c>
      <c r="U18" s="36">
        <f>T18-P18</f>
        <v>0</v>
      </c>
      <c r="V18" s="46">
        <f>21416+225239</f>
        <v>246655</v>
      </c>
      <c r="W18" s="47">
        <f>V18-T18</f>
        <v>0</v>
      </c>
      <c r="X18" s="39">
        <f>21416+225239</f>
        <v>246655</v>
      </c>
      <c r="Y18" s="32">
        <f>X18-V18</f>
        <v>0</v>
      </c>
      <c r="Z18" s="32">
        <f>21416+225239</f>
        <v>246655</v>
      </c>
      <c r="AA18" s="36">
        <f>Z18-X18</f>
        <v>0</v>
      </c>
      <c r="AB18" s="46">
        <f>21416+225239</f>
        <v>246655</v>
      </c>
      <c r="AC18" s="47">
        <f>AB18-Z18</f>
        <v>0</v>
      </c>
      <c r="AD18" s="39">
        <f>21416+247763</f>
        <v>269179</v>
      </c>
      <c r="AE18" s="32">
        <f>AD18-AB18</f>
        <v>22524</v>
      </c>
      <c r="AF18" s="232"/>
      <c r="AG18" s="233"/>
      <c r="AH18" s="27">
        <f>21416+247763</f>
        <v>269179</v>
      </c>
      <c r="AI18" s="32">
        <f>AH18-AD18</f>
        <v>0</v>
      </c>
      <c r="AJ18" s="27">
        <f>21416+247763</f>
        <v>269179</v>
      </c>
      <c r="AK18" s="32">
        <f>AJ18-AH18</f>
        <v>0</v>
      </c>
      <c r="AL18" s="232"/>
      <c r="AM18" s="233"/>
      <c r="AN18" s="232"/>
      <c r="AO18" s="233"/>
      <c r="AP18" s="27">
        <f>21416+247763</f>
        <v>269179</v>
      </c>
      <c r="AQ18" s="32"/>
      <c r="AR18" s="27">
        <f>21416+247763</f>
        <v>269179</v>
      </c>
      <c r="AS18" s="32">
        <f>AR18-AP18</f>
        <v>0</v>
      </c>
      <c r="AT18" s="285"/>
      <c r="AU18" s="285"/>
      <c r="AV18" s="27">
        <f>21416+247763</f>
        <v>269179</v>
      </c>
      <c r="AW18" s="32">
        <f>AV18-AR18</f>
        <v>0</v>
      </c>
      <c r="AX18" s="27">
        <f>21416+1191</f>
        <v>22607</v>
      </c>
      <c r="AY18" s="32">
        <f>AX18-AV18</f>
        <v>-246572</v>
      </c>
      <c r="AZ18" s="27">
        <f>21416+3398</f>
        <v>24814</v>
      </c>
      <c r="BA18" s="32">
        <f>AZ18-AX18</f>
        <v>2207</v>
      </c>
      <c r="BB18" s="27">
        <f>21416+6623</f>
        <v>28039</v>
      </c>
      <c r="BC18" s="32">
        <f>BB18-AZ18</f>
        <v>3225</v>
      </c>
      <c r="BD18" s="27">
        <f>21416+8816</f>
        <v>30232</v>
      </c>
      <c r="BE18" s="32">
        <f>BD18-BB18</f>
        <v>2193</v>
      </c>
      <c r="BF18" s="27">
        <f>21416+11734</f>
        <v>33150</v>
      </c>
      <c r="BG18" s="32">
        <f>BF18-BD18</f>
        <v>2918</v>
      </c>
      <c r="BH18" s="269"/>
      <c r="BI18" s="269"/>
      <c r="BJ18" s="155"/>
      <c r="BK18" s="113">
        <v>21416</v>
      </c>
      <c r="BL18" s="114">
        <v>17180</v>
      </c>
      <c r="BM18" s="114">
        <f>BK18+BL18</f>
        <v>38596</v>
      </c>
      <c r="BN18" s="115"/>
      <c r="BO18" s="113">
        <v>21416</v>
      </c>
      <c r="BP18" s="114">
        <v>18898</v>
      </c>
      <c r="BQ18" s="114">
        <f>BO18+BP18</f>
        <v>40314</v>
      </c>
      <c r="BR18" s="115">
        <f>BQ18-BM18</f>
        <v>1718</v>
      </c>
      <c r="BS18" s="113">
        <v>21416</v>
      </c>
      <c r="BT18" s="114">
        <v>22867</v>
      </c>
      <c r="BU18" s="114">
        <f>BS18+BT18</f>
        <v>44283</v>
      </c>
      <c r="BV18" s="115">
        <f>BU18-BQ18</f>
        <v>3969</v>
      </c>
      <c r="BW18" s="113">
        <v>21416</v>
      </c>
      <c r="BX18" s="114">
        <v>25154</v>
      </c>
      <c r="BY18" s="114">
        <f>BW18+BX18</f>
        <v>46570</v>
      </c>
      <c r="BZ18" s="115">
        <f>BY18-BU18</f>
        <v>2287</v>
      </c>
      <c r="CA18" s="113">
        <v>21416</v>
      </c>
      <c r="CB18" s="114">
        <v>27669</v>
      </c>
      <c r="CC18" s="114">
        <f>CA18+CB18</f>
        <v>49085</v>
      </c>
      <c r="CD18" s="115">
        <f>CC18-BY18</f>
        <v>2515</v>
      </c>
      <c r="CE18" s="113">
        <v>21416</v>
      </c>
      <c r="CF18" s="114">
        <v>30436</v>
      </c>
      <c r="CG18" s="114">
        <f>CE18+CF18</f>
        <v>51852</v>
      </c>
      <c r="CH18" s="115">
        <f>CG18-CC18</f>
        <v>2767</v>
      </c>
      <c r="CI18" s="254"/>
      <c r="CJ18" s="240"/>
      <c r="CK18" s="240"/>
      <c r="CL18" s="255"/>
      <c r="CM18" s="113">
        <v>21416</v>
      </c>
      <c r="CN18" s="114">
        <v>36828</v>
      </c>
      <c r="CO18" s="114">
        <f t="shared" si="251"/>
        <v>58244</v>
      </c>
      <c r="CP18" s="115">
        <f>CO18-CG18</f>
        <v>6392</v>
      </c>
      <c r="CQ18" s="113">
        <v>21416</v>
      </c>
      <c r="CR18" s="114">
        <v>40511</v>
      </c>
      <c r="CS18" s="114">
        <f t="shared" ref="CS18" si="302">CQ18+CR18</f>
        <v>61927</v>
      </c>
      <c r="CT18" s="115">
        <f>CS18-CO18</f>
        <v>3683</v>
      </c>
      <c r="CU18" s="113">
        <v>21416</v>
      </c>
      <c r="CV18" s="114">
        <v>40511</v>
      </c>
      <c r="CW18" s="114">
        <f t="shared" ref="CW18:CW20" si="303">CU18+CV18</f>
        <v>61927</v>
      </c>
      <c r="CX18" s="115">
        <f>CW18-CS18</f>
        <v>0</v>
      </c>
      <c r="CY18" s="113">
        <v>21416</v>
      </c>
      <c r="CZ18" s="114">
        <v>44562</v>
      </c>
      <c r="DA18" s="114">
        <f t="shared" ref="DA18:DA20" si="304">CY18+CZ18</f>
        <v>65978</v>
      </c>
      <c r="DB18" s="115">
        <f>DA18-CW18</f>
        <v>4051</v>
      </c>
      <c r="DC18" s="113">
        <v>21416</v>
      </c>
      <c r="DD18" s="114">
        <v>49018</v>
      </c>
      <c r="DE18" s="114">
        <f t="shared" ref="DE18" si="305">DC18+DD18</f>
        <v>70434</v>
      </c>
      <c r="DF18" s="115">
        <f>DE18-DA18</f>
        <v>4456</v>
      </c>
      <c r="DG18" s="254"/>
      <c r="DH18" s="240"/>
      <c r="DI18" s="240"/>
      <c r="DJ18" s="240"/>
      <c r="DK18" s="254"/>
      <c r="DL18" s="240"/>
      <c r="DM18" s="240"/>
      <c r="DN18" s="240"/>
      <c r="DO18" s="113">
        <v>21416</v>
      </c>
      <c r="DP18" s="114">
        <v>53920</v>
      </c>
      <c r="DQ18" s="114">
        <f t="shared" ref="DQ18:DQ20" si="306">DO18+DP18</f>
        <v>75336</v>
      </c>
      <c r="DR18" s="115"/>
      <c r="DS18" s="113">
        <v>21416</v>
      </c>
      <c r="DT18" s="114">
        <v>59312</v>
      </c>
      <c r="DU18" s="114">
        <f t="shared" ref="DU18:DU20" si="307">DS18+DT18</f>
        <v>80728</v>
      </c>
      <c r="DV18" s="115">
        <f>DU18-DQ18</f>
        <v>5392</v>
      </c>
      <c r="DW18" s="113">
        <v>21416</v>
      </c>
      <c r="DX18" s="114">
        <v>59312</v>
      </c>
      <c r="DY18" s="114">
        <f t="shared" si="258"/>
        <v>80728</v>
      </c>
      <c r="DZ18" s="115">
        <f>DY18-DU18</f>
        <v>0</v>
      </c>
      <c r="EA18" s="113">
        <v>21416</v>
      </c>
      <c r="EB18" s="114">
        <v>65243</v>
      </c>
      <c r="EC18" s="114">
        <f t="shared" ref="EC18:EC20" si="308">EA18+EB18</f>
        <v>86659</v>
      </c>
      <c r="ED18" s="115">
        <f>EC18-DY18</f>
        <v>5931</v>
      </c>
      <c r="EE18" s="113">
        <v>21416</v>
      </c>
      <c r="EF18" s="114">
        <v>65243</v>
      </c>
      <c r="EG18" s="114">
        <f t="shared" ref="EG18:EG20" si="309">EE18+EF18</f>
        <v>86659</v>
      </c>
      <c r="EH18" s="115">
        <f>EG18-EC18</f>
        <v>0</v>
      </c>
      <c r="EI18" s="113">
        <v>21416</v>
      </c>
      <c r="EJ18" s="114">
        <v>71768</v>
      </c>
      <c r="EK18" s="114">
        <f t="shared" ref="EK18:EK20" si="310">EI18+EJ18</f>
        <v>93184</v>
      </c>
      <c r="EL18" s="115">
        <f>EK18-EG18</f>
        <v>6525</v>
      </c>
      <c r="EM18" s="271"/>
      <c r="EN18" s="271"/>
      <c r="EO18" s="113">
        <v>21416</v>
      </c>
      <c r="EP18" s="114">
        <v>71768</v>
      </c>
      <c r="EQ18" s="114">
        <f t="shared" ref="EQ18:EQ20" si="311">EO18+EP18</f>
        <v>93184</v>
      </c>
      <c r="ER18" s="115">
        <f>EQ18-EK18</f>
        <v>0</v>
      </c>
      <c r="ES18" s="113">
        <v>21416</v>
      </c>
      <c r="ET18" s="114">
        <v>49018</v>
      </c>
      <c r="EU18" s="114">
        <f t="shared" si="263"/>
        <v>70434</v>
      </c>
      <c r="EV18" s="115">
        <f>EU18-EO18</f>
        <v>49018</v>
      </c>
      <c r="EW18" s="260"/>
      <c r="EX18" s="260"/>
      <c r="EY18" s="260"/>
      <c r="EZ18" s="260"/>
      <c r="FA18" s="113">
        <v>21416</v>
      </c>
      <c r="FB18" s="114">
        <v>78944</v>
      </c>
      <c r="FC18" s="114">
        <f t="shared" si="264"/>
        <v>100360</v>
      </c>
      <c r="FD18" s="115"/>
      <c r="FE18" s="113">
        <v>21416</v>
      </c>
      <c r="FF18" s="114">
        <v>86839</v>
      </c>
      <c r="FG18" s="114">
        <f t="shared" ref="FG18:FG19" si="312">FE18+FF18</f>
        <v>108255</v>
      </c>
      <c r="FH18" s="32">
        <f>FG18-FC18</f>
        <v>7895</v>
      </c>
      <c r="FI18" s="113">
        <v>21416</v>
      </c>
      <c r="FJ18" s="114">
        <v>86839</v>
      </c>
      <c r="FK18" s="114">
        <f t="shared" ref="FK18:FK19" si="313">FI18+FJ18</f>
        <v>108255</v>
      </c>
      <c r="FL18" s="32">
        <f>FK18-FG18</f>
        <v>0</v>
      </c>
      <c r="FM18" s="260"/>
      <c r="FN18" s="260"/>
      <c r="FO18" s="260"/>
      <c r="FP18" s="260"/>
      <c r="FQ18" s="27"/>
      <c r="FR18" s="32"/>
      <c r="FS18" s="27"/>
      <c r="FT18" s="32"/>
      <c r="FU18" s="113">
        <v>21416</v>
      </c>
      <c r="FV18" s="114">
        <v>95523</v>
      </c>
      <c r="FW18" s="114">
        <f t="shared" ref="FW18:FW19" si="314">FU18+FV18</f>
        <v>116939</v>
      </c>
      <c r="FX18" s="32"/>
      <c r="FZ18" s="113"/>
      <c r="GA18" s="114"/>
      <c r="GB18" s="114"/>
      <c r="GC18" s="115"/>
      <c r="GD18" s="260"/>
      <c r="GE18" s="260"/>
      <c r="GF18" s="260"/>
      <c r="GG18" s="260"/>
      <c r="GH18" s="113">
        <v>21416</v>
      </c>
      <c r="GI18" s="114">
        <v>105075</v>
      </c>
      <c r="GJ18" s="114">
        <f t="shared" si="268"/>
        <v>126491</v>
      </c>
      <c r="GK18" s="115"/>
      <c r="GL18" s="113">
        <v>21416</v>
      </c>
      <c r="GM18" s="114">
        <v>105075</v>
      </c>
      <c r="GN18" s="114">
        <f t="shared" si="269"/>
        <v>126491</v>
      </c>
      <c r="GO18" s="115">
        <f t="shared" si="270"/>
        <v>0</v>
      </c>
      <c r="GP18" s="260"/>
      <c r="GQ18" s="260"/>
      <c r="GR18" s="260"/>
      <c r="GS18" s="260"/>
      <c r="GT18" s="113">
        <v>21416</v>
      </c>
      <c r="GU18" s="114">
        <v>115583</v>
      </c>
      <c r="GV18" s="114">
        <f t="shared" si="271"/>
        <v>136999</v>
      </c>
      <c r="GW18" s="115"/>
      <c r="GX18" s="113">
        <v>21416</v>
      </c>
      <c r="GY18" s="114">
        <v>115583</v>
      </c>
      <c r="GZ18" s="114">
        <f t="shared" si="272"/>
        <v>136999</v>
      </c>
      <c r="HA18" s="115">
        <f t="shared" si="273"/>
        <v>0</v>
      </c>
      <c r="HB18" s="113">
        <v>21416</v>
      </c>
      <c r="HC18" s="114">
        <v>115583</v>
      </c>
      <c r="HD18" s="114">
        <f t="shared" si="274"/>
        <v>136999</v>
      </c>
      <c r="HE18" s="115">
        <f t="shared" si="275"/>
        <v>0</v>
      </c>
      <c r="HF18" s="113">
        <v>21416</v>
      </c>
      <c r="HG18" s="114">
        <v>115583</v>
      </c>
      <c r="HH18" s="114">
        <f t="shared" si="276"/>
        <v>136999</v>
      </c>
      <c r="HI18" s="115">
        <f t="shared" si="277"/>
        <v>0</v>
      </c>
      <c r="HJ18" s="113">
        <v>21416</v>
      </c>
      <c r="HK18" s="114">
        <v>127141</v>
      </c>
      <c r="HL18" s="114">
        <f t="shared" si="278"/>
        <v>148557</v>
      </c>
      <c r="HM18" s="115">
        <f t="shared" si="279"/>
        <v>11558</v>
      </c>
      <c r="HN18" s="113">
        <v>21416</v>
      </c>
      <c r="HO18" s="114">
        <v>127141</v>
      </c>
      <c r="HP18" s="114">
        <f t="shared" si="280"/>
        <v>148557</v>
      </c>
      <c r="HQ18" s="115">
        <f t="shared" si="281"/>
        <v>0</v>
      </c>
      <c r="HR18" s="254"/>
      <c r="HS18" s="240"/>
      <c r="HT18" s="240"/>
      <c r="HU18" s="255"/>
      <c r="HV18" s="113">
        <v>21416</v>
      </c>
      <c r="HW18" s="114">
        <v>4112</v>
      </c>
      <c r="HX18" s="114">
        <f t="shared" si="282"/>
        <v>25528</v>
      </c>
      <c r="HY18" s="115"/>
      <c r="HZ18" s="113">
        <v>21416</v>
      </c>
      <c r="IA18" s="114">
        <v>6623</v>
      </c>
      <c r="IB18" s="114">
        <f t="shared" si="283"/>
        <v>28039</v>
      </c>
      <c r="IC18" s="115">
        <f t="shared" ref="IC18:IC20" si="315">IB18-HX18</f>
        <v>2511</v>
      </c>
      <c r="ID18" s="113">
        <v>21416</v>
      </c>
      <c r="IE18" s="114">
        <v>9697</v>
      </c>
      <c r="IF18" s="114">
        <f t="shared" si="285"/>
        <v>31113</v>
      </c>
      <c r="IG18" s="115">
        <f t="shared" ref="IG18:IG20" si="316">IF18-IB18</f>
        <v>3074</v>
      </c>
      <c r="IH18" s="113">
        <v>21416</v>
      </c>
      <c r="II18" s="114">
        <v>12908</v>
      </c>
      <c r="IJ18" s="114">
        <f t="shared" si="286"/>
        <v>34324</v>
      </c>
      <c r="IK18" s="115">
        <f t="shared" ref="IK18:IK20" si="317">IJ18-IF18</f>
        <v>3211</v>
      </c>
      <c r="IL18" s="113">
        <v>21416</v>
      </c>
      <c r="IM18" s="114">
        <v>15618</v>
      </c>
      <c r="IN18" s="114">
        <f t="shared" si="287"/>
        <v>37034</v>
      </c>
      <c r="IO18" s="115">
        <f t="shared" ref="IO18:IO20" si="318">IN18-IJ18</f>
        <v>2710</v>
      </c>
      <c r="IP18" s="254"/>
      <c r="IQ18" s="240"/>
      <c r="IR18" s="240"/>
      <c r="IS18" s="255"/>
      <c r="IT18" s="254"/>
      <c r="IU18" s="240"/>
      <c r="IV18" s="240"/>
      <c r="IW18" s="255"/>
      <c r="IX18" s="113">
        <v>21416</v>
      </c>
      <c r="IY18" s="114">
        <v>22867</v>
      </c>
      <c r="IZ18" s="114">
        <f t="shared" si="288"/>
        <v>44283</v>
      </c>
      <c r="JA18" s="115"/>
      <c r="JB18" s="113">
        <v>21416</v>
      </c>
      <c r="JC18" s="114">
        <v>27669</v>
      </c>
      <c r="JD18" s="114">
        <f t="shared" si="289"/>
        <v>49085</v>
      </c>
      <c r="JE18" s="115">
        <f t="shared" ref="JE18:JE20" si="319">JD18-IZ18</f>
        <v>4802</v>
      </c>
      <c r="JF18" s="113">
        <v>21416</v>
      </c>
      <c r="JG18" s="114">
        <v>30436</v>
      </c>
      <c r="JH18" s="114">
        <f t="shared" si="290"/>
        <v>51852</v>
      </c>
      <c r="JI18" s="115">
        <f t="shared" ref="JI18:JI20" si="320">JH18-JD18</f>
        <v>2767</v>
      </c>
      <c r="JJ18" s="113">
        <v>21416</v>
      </c>
      <c r="JK18" s="114">
        <v>30436</v>
      </c>
      <c r="JL18" s="114">
        <f t="shared" si="291"/>
        <v>51852</v>
      </c>
      <c r="JM18" s="115">
        <f t="shared" ref="JM18:JM20" si="321">JL18-JH18</f>
        <v>0</v>
      </c>
      <c r="JN18" s="113">
        <v>21416</v>
      </c>
      <c r="JO18" s="114">
        <v>33480</v>
      </c>
      <c r="JP18" s="114">
        <f t="shared" si="292"/>
        <v>54896</v>
      </c>
      <c r="JQ18" s="115">
        <f t="shared" ref="JQ18:JQ20" si="322">JP18-JL18</f>
        <v>3044</v>
      </c>
      <c r="JR18" s="113"/>
      <c r="JS18" s="114"/>
      <c r="JT18" s="114"/>
      <c r="JU18" s="115"/>
      <c r="JV18" s="254"/>
      <c r="JW18" s="240"/>
      <c r="JX18" s="240"/>
      <c r="JY18" s="255"/>
      <c r="JZ18" s="113">
        <v>21416</v>
      </c>
      <c r="KA18" s="114">
        <v>40511</v>
      </c>
      <c r="KB18" s="114">
        <f t="shared" si="293"/>
        <v>61927</v>
      </c>
      <c r="KC18" s="115">
        <f t="shared" ref="KC18:KC20" si="323">KB18-JX18</f>
        <v>61927</v>
      </c>
      <c r="KD18" s="113">
        <v>22454</v>
      </c>
      <c r="KE18" s="113">
        <v>259</v>
      </c>
      <c r="KF18" s="113">
        <f t="shared" si="294"/>
        <v>22713</v>
      </c>
      <c r="KG18" s="113">
        <f t="shared" ref="KG18:KG20" si="324">KF18-KB18</f>
        <v>-39214</v>
      </c>
      <c r="KH18" s="113">
        <v>22454</v>
      </c>
      <c r="KI18" s="113">
        <v>9</v>
      </c>
      <c r="KJ18" s="113">
        <f>KH18+KI18</f>
        <v>22463</v>
      </c>
      <c r="KK18" s="113">
        <f t="shared" ref="KK18:KK20" si="325">KJ18-KF18</f>
        <v>-250</v>
      </c>
      <c r="KL18" s="113">
        <v>22048</v>
      </c>
      <c r="KM18" s="113">
        <v>17180</v>
      </c>
      <c r="KN18" s="113">
        <f>KL18+KM18</f>
        <v>39228</v>
      </c>
      <c r="KO18" s="113">
        <f t="shared" ref="KO18:KO20" si="326">KN18-KJ18</f>
        <v>16765</v>
      </c>
      <c r="KP18" s="113">
        <v>22454</v>
      </c>
      <c r="KQ18" s="113">
        <v>51</v>
      </c>
      <c r="KR18" s="113">
        <f>KP18+KQ18</f>
        <v>22505</v>
      </c>
      <c r="KS18" s="113">
        <f t="shared" ref="KS18:KS20" si="327">KR18-KN18</f>
        <v>-16723</v>
      </c>
      <c r="KU18" s="113">
        <v>22454</v>
      </c>
      <c r="KV18" s="113">
        <v>51</v>
      </c>
      <c r="KW18" s="113">
        <f>KU18+KV18</f>
        <v>22505</v>
      </c>
      <c r="KX18" s="113">
        <f t="shared" ref="KX18:KX20" si="328">KW18-KS18</f>
        <v>39228</v>
      </c>
      <c r="KY18" s="260"/>
      <c r="KZ18" s="260"/>
      <c r="LA18" s="260"/>
      <c r="LB18" s="260"/>
      <c r="LC18" s="260"/>
      <c r="LD18" s="260"/>
      <c r="LE18" s="260"/>
      <c r="LF18" s="260"/>
      <c r="LG18" s="113">
        <v>22454</v>
      </c>
      <c r="LH18" s="114">
        <v>813</v>
      </c>
      <c r="LI18" s="114">
        <f t="shared" ref="LI18" si="329">LG18+LH18</f>
        <v>23267</v>
      </c>
      <c r="LJ18" s="115"/>
      <c r="LK18" s="113"/>
      <c r="LL18" s="114"/>
      <c r="LM18" s="114"/>
      <c r="LN18" s="115"/>
      <c r="LO18" s="260"/>
      <c r="LP18" s="260"/>
      <c r="LQ18" s="260"/>
      <c r="LR18" s="260"/>
      <c r="LS18" s="260"/>
      <c r="LT18" s="260"/>
      <c r="LU18" s="260"/>
      <c r="LV18" s="260"/>
      <c r="LW18" s="113">
        <v>22454</v>
      </c>
      <c r="LX18" s="114">
        <v>813</v>
      </c>
      <c r="LY18" s="114">
        <f t="shared" si="296"/>
        <v>23267</v>
      </c>
      <c r="LZ18" s="115"/>
      <c r="MA18" s="260"/>
      <c r="MB18" s="260"/>
      <c r="MC18" s="260"/>
      <c r="MD18" s="260"/>
      <c r="ME18" s="113">
        <v>22454</v>
      </c>
      <c r="MF18" s="114">
        <v>344</v>
      </c>
      <c r="MG18" s="114">
        <f t="shared" si="297"/>
        <v>22798</v>
      </c>
      <c r="MH18" s="115"/>
      <c r="MI18" s="113">
        <v>22454</v>
      </c>
      <c r="MJ18" s="114">
        <v>672</v>
      </c>
      <c r="MK18" s="114">
        <f t="shared" si="298"/>
        <v>23126</v>
      </c>
      <c r="ML18" s="113">
        <f t="shared" ref="ML18:ML20" si="330">MK18-MG18</f>
        <v>328</v>
      </c>
      <c r="MM18" s="113">
        <v>22454</v>
      </c>
      <c r="MN18" s="114">
        <v>739</v>
      </c>
      <c r="MO18" s="114">
        <f t="shared" si="299"/>
        <v>23193</v>
      </c>
      <c r="MP18" s="113">
        <f t="shared" ref="MP18:MP20" si="331">MO18-MK18</f>
        <v>67</v>
      </c>
      <c r="MQ18" s="113">
        <v>22454</v>
      </c>
      <c r="MR18" s="114">
        <v>214</v>
      </c>
      <c r="MS18" s="114">
        <f t="shared" si="300"/>
        <v>22668</v>
      </c>
      <c r="MT18" s="113">
        <f t="shared" ref="MT18:MT20" si="332">MS18-MO18</f>
        <v>-525</v>
      </c>
      <c r="MU18" s="113">
        <v>22454</v>
      </c>
      <c r="MV18" s="114">
        <v>214</v>
      </c>
      <c r="MW18" s="114">
        <f t="shared" si="301"/>
        <v>22668</v>
      </c>
      <c r="MX18" s="113">
        <f t="shared" ref="MX18:MX20" si="333">MW18-MS18</f>
        <v>0</v>
      </c>
      <c r="MY18" s="260"/>
      <c r="MZ18" s="260"/>
      <c r="NA18" s="260"/>
      <c r="NB18" s="260"/>
      <c r="NC18" s="260"/>
      <c r="ND18" s="260"/>
      <c r="NE18" s="260"/>
      <c r="NF18" s="260"/>
      <c r="NG18" s="113"/>
      <c r="NH18" s="114"/>
      <c r="NI18" s="114"/>
      <c r="NJ18" s="115"/>
      <c r="NK18" s="113"/>
      <c r="NL18" s="114"/>
      <c r="NM18" s="114"/>
      <c r="NN18" s="115"/>
      <c r="NO18" s="113">
        <v>22454</v>
      </c>
      <c r="NP18" s="114">
        <v>739</v>
      </c>
      <c r="NQ18" s="114">
        <f t="shared" si="92"/>
        <v>23193</v>
      </c>
      <c r="NR18" s="115"/>
      <c r="NS18" s="113">
        <v>22454</v>
      </c>
      <c r="NT18" s="114">
        <v>739</v>
      </c>
      <c r="NU18" s="114">
        <f t="shared" si="93"/>
        <v>23193</v>
      </c>
      <c r="NV18" s="115"/>
      <c r="NW18" s="260"/>
      <c r="NX18" s="260"/>
      <c r="NY18" s="260"/>
      <c r="NZ18" s="260"/>
      <c r="OA18" s="113">
        <v>22454</v>
      </c>
      <c r="OB18" s="114">
        <v>739</v>
      </c>
      <c r="OC18" s="114">
        <f t="shared" si="94"/>
        <v>23193</v>
      </c>
      <c r="OD18" s="115"/>
      <c r="OE18" s="260"/>
      <c r="OF18" s="260"/>
      <c r="OG18" s="260"/>
      <c r="OH18" s="260"/>
      <c r="OI18" s="113">
        <v>22454</v>
      </c>
      <c r="OJ18" s="114">
        <v>894</v>
      </c>
      <c r="OK18" s="114">
        <v>23349</v>
      </c>
      <c r="OL18" s="115"/>
      <c r="OM18" s="113">
        <v>22454</v>
      </c>
      <c r="ON18" s="114">
        <v>894</v>
      </c>
      <c r="OO18" s="114">
        <v>23349</v>
      </c>
      <c r="OP18" s="115"/>
      <c r="OQ18" s="113">
        <v>22454</v>
      </c>
      <c r="OR18" s="114">
        <v>894</v>
      </c>
      <c r="OS18" s="114">
        <v>23349</v>
      </c>
      <c r="OT18" s="115"/>
      <c r="OU18" s="113">
        <v>22454</v>
      </c>
      <c r="OV18" s="114">
        <v>4112</v>
      </c>
      <c r="OW18" s="114">
        <v>26566</v>
      </c>
      <c r="OX18" s="115"/>
      <c r="OY18" s="113">
        <v>22454</v>
      </c>
      <c r="OZ18" s="114">
        <v>4112</v>
      </c>
      <c r="PA18" s="114">
        <v>26566</v>
      </c>
      <c r="PB18" s="115"/>
      <c r="PC18" s="113">
        <v>22454</v>
      </c>
      <c r="PD18" s="113">
        <v>4112</v>
      </c>
      <c r="PE18" s="113">
        <v>26566</v>
      </c>
      <c r="PF18" s="113"/>
      <c r="PG18" s="113"/>
      <c r="PH18" s="113"/>
      <c r="PI18" s="113"/>
      <c r="PJ18" s="113"/>
      <c r="PK18" s="113">
        <v>22454</v>
      </c>
      <c r="PL18" s="113">
        <v>4112</v>
      </c>
      <c r="PM18" s="113">
        <v>26566</v>
      </c>
      <c r="PN18" s="113"/>
      <c r="PP18" s="113">
        <v>22454</v>
      </c>
      <c r="PQ18" s="113">
        <v>4112</v>
      </c>
      <c r="PR18" s="113">
        <v>26566</v>
      </c>
      <c r="PS18" s="113"/>
      <c r="PT18" s="113">
        <v>22454</v>
      </c>
      <c r="PU18" s="113">
        <v>4112</v>
      </c>
      <c r="PV18" s="113">
        <v>26566</v>
      </c>
      <c r="PW18" s="113"/>
      <c r="PX18" s="113">
        <v>22454</v>
      </c>
      <c r="PY18" s="113">
        <v>4112</v>
      </c>
      <c r="PZ18" s="113">
        <v>26566</v>
      </c>
      <c r="QA18" s="113"/>
      <c r="QB18" s="113">
        <v>22454</v>
      </c>
      <c r="QC18" s="113">
        <v>4112</v>
      </c>
      <c r="QD18" s="113">
        <v>26566</v>
      </c>
      <c r="QE18" s="113"/>
      <c r="QF18" s="113">
        <v>22454</v>
      </c>
      <c r="QG18" s="113">
        <v>4112</v>
      </c>
      <c r="QH18" s="113">
        <v>26566</v>
      </c>
      <c r="QI18" s="113"/>
      <c r="QJ18" s="290"/>
      <c r="QK18" s="290"/>
      <c r="QL18" s="290"/>
      <c r="QM18" s="290"/>
      <c r="QN18" s="113">
        <v>22454</v>
      </c>
      <c r="QO18" s="113">
        <v>4112</v>
      </c>
      <c r="QP18" s="113">
        <v>26566</v>
      </c>
      <c r="QQ18" s="113"/>
      <c r="QR18" s="113">
        <v>22454</v>
      </c>
      <c r="QS18" s="113">
        <v>4112</v>
      </c>
      <c r="QT18" s="113">
        <v>26566</v>
      </c>
      <c r="QU18" s="113"/>
      <c r="QV18" s="113">
        <v>22454</v>
      </c>
      <c r="QW18" s="113">
        <v>4112</v>
      </c>
      <c r="QX18" s="113">
        <v>26566</v>
      </c>
      <c r="QY18" s="113"/>
      <c r="QZ18" s="113">
        <v>22454</v>
      </c>
      <c r="RA18" s="113">
        <v>4112</v>
      </c>
      <c r="RB18" s="113">
        <v>26566</v>
      </c>
      <c r="RC18" s="113"/>
      <c r="RD18" s="113">
        <v>22454</v>
      </c>
      <c r="RE18" s="113">
        <v>4112</v>
      </c>
      <c r="RF18" s="113">
        <v>26566</v>
      </c>
      <c r="RG18" s="113"/>
      <c r="RH18" s="113">
        <v>22454</v>
      </c>
      <c r="RI18" s="113">
        <v>4112</v>
      </c>
      <c r="RJ18" s="113">
        <v>26566</v>
      </c>
      <c r="RK18" s="113"/>
      <c r="RL18" s="240"/>
      <c r="RM18" s="240"/>
      <c r="RN18" s="240"/>
      <c r="RO18" s="240"/>
      <c r="RP18" s="113">
        <v>22454</v>
      </c>
      <c r="RQ18" s="113">
        <v>4112</v>
      </c>
      <c r="RR18" s="113">
        <v>26566</v>
      </c>
      <c r="RS18" s="113"/>
      <c r="RT18" s="113">
        <v>22454</v>
      </c>
      <c r="RU18" s="113">
        <v>4112</v>
      </c>
      <c r="RV18" s="113">
        <v>26566</v>
      </c>
      <c r="RW18" s="113"/>
      <c r="RX18" s="113">
        <v>22454</v>
      </c>
      <c r="RY18" s="113">
        <v>4112</v>
      </c>
      <c r="RZ18" s="113">
        <v>26566</v>
      </c>
      <c r="SA18" s="113"/>
    </row>
    <row r="19" spans="1:495" x14ac:dyDescent="0.3">
      <c r="A19" s="292">
        <v>14</v>
      </c>
      <c r="B19" s="4" t="s">
        <v>24</v>
      </c>
      <c r="C19" s="6" t="s">
        <v>52</v>
      </c>
      <c r="D19" s="283"/>
      <c r="E19" s="14">
        <v>22526</v>
      </c>
      <c r="F19" s="192"/>
      <c r="G19" s="35">
        <v>22510</v>
      </c>
      <c r="H19" s="43">
        <v>22465</v>
      </c>
      <c r="I19" s="44">
        <f t="shared" si="0"/>
        <v>-45</v>
      </c>
      <c r="J19" s="43">
        <v>22465</v>
      </c>
      <c r="K19" s="44">
        <f t="shared" si="95"/>
        <v>0</v>
      </c>
      <c r="L19" s="43">
        <v>22520</v>
      </c>
      <c r="M19" s="44">
        <f>L19-J19</f>
        <v>55</v>
      </c>
      <c r="N19" s="43">
        <f>22464+51</f>
        <v>22515</v>
      </c>
      <c r="O19" s="44">
        <f>N19-L19</f>
        <v>-5</v>
      </c>
      <c r="P19" s="43">
        <f>22464+1</f>
        <v>22465</v>
      </c>
      <c r="Q19" s="44">
        <f>P19-N19</f>
        <v>-50</v>
      </c>
      <c r="R19" s="232"/>
      <c r="S19" s="233"/>
      <c r="T19" s="43">
        <f>22464+132</f>
        <v>22596</v>
      </c>
      <c r="U19" s="35">
        <f>T19-P19</f>
        <v>131</v>
      </c>
      <c r="V19" s="43">
        <f>22464+1</f>
        <v>22465</v>
      </c>
      <c r="W19" s="44">
        <f>V19-T19</f>
        <v>-131</v>
      </c>
      <c r="X19" s="38">
        <f>22464+120</f>
        <v>22584</v>
      </c>
      <c r="Y19" s="13">
        <f>X19-V19</f>
        <v>119</v>
      </c>
      <c r="Z19" s="13">
        <f>22464+90</f>
        <v>22554</v>
      </c>
      <c r="AA19" s="35">
        <f>Z19-X19</f>
        <v>-30</v>
      </c>
      <c r="AB19" s="43">
        <f>22464+68</f>
        <v>22532</v>
      </c>
      <c r="AC19" s="44">
        <f>AB19-Z19</f>
        <v>-22</v>
      </c>
      <c r="AD19" s="38">
        <f>22464+120</f>
        <v>22584</v>
      </c>
      <c r="AE19" s="13">
        <f>AD19-AB19</f>
        <v>52</v>
      </c>
      <c r="AF19" s="232"/>
      <c r="AG19" s="233"/>
      <c r="AH19" s="14">
        <f>22464+51</f>
        <v>22515</v>
      </c>
      <c r="AI19" s="13">
        <f>AH19-AD19</f>
        <v>-69</v>
      </c>
      <c r="AJ19" s="14">
        <f>22464+51</f>
        <v>22515</v>
      </c>
      <c r="AK19" s="13">
        <f>AJ19-AH19</f>
        <v>0</v>
      </c>
      <c r="AL19" s="232"/>
      <c r="AM19" s="233"/>
      <c r="AN19" s="232"/>
      <c r="AO19" s="233"/>
      <c r="AP19" s="14">
        <f>22464+160</f>
        <v>22624</v>
      </c>
      <c r="AQ19" s="13"/>
      <c r="AR19" s="13">
        <f>22464+68</f>
        <v>22532</v>
      </c>
      <c r="AS19" s="13">
        <f>AR19-AP19</f>
        <v>-92</v>
      </c>
      <c r="AT19" s="285"/>
      <c r="AU19" s="285"/>
      <c r="AV19" s="14">
        <f>22464+74</f>
        <v>22538</v>
      </c>
      <c r="AW19" s="13">
        <f>AV19-AR19</f>
        <v>6</v>
      </c>
      <c r="AX19" s="14">
        <f>22464+28</f>
        <v>22492</v>
      </c>
      <c r="AY19" s="13">
        <f>AX19-AV19</f>
        <v>-46</v>
      </c>
      <c r="AZ19" s="14">
        <f>22464+1</f>
        <v>22465</v>
      </c>
      <c r="BA19" s="13">
        <f>AZ19-AX19</f>
        <v>-27</v>
      </c>
      <c r="BB19" s="14">
        <f>22464+1</f>
        <v>22465</v>
      </c>
      <c r="BC19" s="13">
        <f>BB19-AZ19</f>
        <v>0</v>
      </c>
      <c r="BD19" s="14">
        <f>22464+1</f>
        <v>22465</v>
      </c>
      <c r="BE19" s="13">
        <f>BD19-BB19</f>
        <v>0</v>
      </c>
      <c r="BF19" s="14">
        <f>22464+1</f>
        <v>22465</v>
      </c>
      <c r="BG19" s="13">
        <f>BF19-BD19</f>
        <v>0</v>
      </c>
      <c r="BH19" s="269"/>
      <c r="BI19" s="269"/>
      <c r="BJ19" s="18"/>
      <c r="BK19" s="118">
        <v>22464</v>
      </c>
      <c r="BL19" s="119">
        <v>68</v>
      </c>
      <c r="BM19" s="119">
        <f>BK19+BL19</f>
        <v>22532</v>
      </c>
      <c r="BN19" s="120"/>
      <c r="BO19" s="118">
        <v>22464</v>
      </c>
      <c r="BP19" s="119">
        <v>68</v>
      </c>
      <c r="BQ19" s="119">
        <f>BO19+BP19</f>
        <v>22532</v>
      </c>
      <c r="BR19" s="120">
        <f>BQ19-BM19</f>
        <v>0</v>
      </c>
      <c r="BS19" s="118">
        <v>22464</v>
      </c>
      <c r="BT19" s="119">
        <v>82</v>
      </c>
      <c r="BU19" s="119">
        <f>BS19+BT19</f>
        <v>22546</v>
      </c>
      <c r="BV19" s="120">
        <f>BU19-BQ19</f>
        <v>14</v>
      </c>
      <c r="BW19" s="118">
        <v>22464</v>
      </c>
      <c r="BX19" s="119">
        <v>99</v>
      </c>
      <c r="BY19" s="119">
        <f>BW19+BX19</f>
        <v>22563</v>
      </c>
      <c r="BZ19" s="120">
        <f>BY19-BU19</f>
        <v>17</v>
      </c>
      <c r="CA19" s="118">
        <v>22464</v>
      </c>
      <c r="CB19" s="119">
        <v>51</v>
      </c>
      <c r="CC19" s="119">
        <f>CA19+CB19</f>
        <v>22515</v>
      </c>
      <c r="CD19" s="120">
        <f>CC19-BY19</f>
        <v>-48</v>
      </c>
      <c r="CE19" s="118">
        <v>22464</v>
      </c>
      <c r="CF19" s="119">
        <v>46</v>
      </c>
      <c r="CG19" s="119">
        <f>CE19+CF19</f>
        <v>22510</v>
      </c>
      <c r="CH19" s="120">
        <f>CG19-CC19</f>
        <v>-5</v>
      </c>
      <c r="CI19" s="254"/>
      <c r="CJ19" s="240"/>
      <c r="CK19" s="240"/>
      <c r="CL19" s="255"/>
      <c r="CM19" s="118">
        <v>22464</v>
      </c>
      <c r="CN19" s="119">
        <v>32</v>
      </c>
      <c r="CO19" s="119">
        <f t="shared" ref="CO19:CO20" si="334">CM19+CN19</f>
        <v>22496</v>
      </c>
      <c r="CP19" s="120">
        <f>CO19-CG19</f>
        <v>-14</v>
      </c>
      <c r="CQ19" s="118">
        <v>22464</v>
      </c>
      <c r="CR19" s="119">
        <v>61</v>
      </c>
      <c r="CS19" s="119">
        <f t="shared" ref="CS19" si="335">CQ19+CR19</f>
        <v>22525</v>
      </c>
      <c r="CT19" s="121">
        <f>CS19-CO19</f>
        <v>29</v>
      </c>
      <c r="CU19" s="118">
        <v>22464</v>
      </c>
      <c r="CV19" s="119">
        <v>61</v>
      </c>
      <c r="CW19" s="119">
        <f t="shared" si="303"/>
        <v>22525</v>
      </c>
      <c r="CX19" s="121">
        <f>CW19-CS19</f>
        <v>0</v>
      </c>
      <c r="CY19" s="118">
        <v>22464</v>
      </c>
      <c r="CZ19" s="119">
        <v>146</v>
      </c>
      <c r="DA19" s="119">
        <f t="shared" si="304"/>
        <v>22610</v>
      </c>
      <c r="DB19" s="121">
        <f>DA19-CW19</f>
        <v>85</v>
      </c>
      <c r="DC19" s="118">
        <v>22464</v>
      </c>
      <c r="DD19" s="119">
        <v>61</v>
      </c>
      <c r="DE19" s="119">
        <f t="shared" ref="DE19" si="336">DC19+DD19</f>
        <v>22525</v>
      </c>
      <c r="DF19" s="121">
        <f>DE19-DA19</f>
        <v>-85</v>
      </c>
      <c r="DG19" s="254"/>
      <c r="DH19" s="240"/>
      <c r="DI19" s="240"/>
      <c r="DJ19" s="240"/>
      <c r="DK19" s="254"/>
      <c r="DL19" s="240"/>
      <c r="DM19" s="240"/>
      <c r="DN19" s="240"/>
      <c r="DO19" s="118">
        <v>22464</v>
      </c>
      <c r="DP19" s="119">
        <v>56</v>
      </c>
      <c r="DQ19" s="119">
        <f t="shared" si="306"/>
        <v>22520</v>
      </c>
      <c r="DR19" s="120"/>
      <c r="DS19" s="118">
        <v>22464</v>
      </c>
      <c r="DT19" s="119">
        <v>74</v>
      </c>
      <c r="DU19" s="119">
        <f t="shared" si="307"/>
        <v>22538</v>
      </c>
      <c r="DV19" s="120">
        <f>DU19-DQ19</f>
        <v>18</v>
      </c>
      <c r="DW19" s="118">
        <v>22464</v>
      </c>
      <c r="DX19" s="119">
        <v>132</v>
      </c>
      <c r="DY19" s="119">
        <f t="shared" si="258"/>
        <v>22596</v>
      </c>
      <c r="DZ19" s="120">
        <f>DY19-DU19</f>
        <v>58</v>
      </c>
      <c r="EA19" s="118">
        <v>22464</v>
      </c>
      <c r="EB19" s="119">
        <v>68</v>
      </c>
      <c r="EC19" s="119">
        <f t="shared" si="308"/>
        <v>22532</v>
      </c>
      <c r="ED19" s="120">
        <f>EC19-DY19</f>
        <v>-64</v>
      </c>
      <c r="EE19" s="118">
        <v>22464</v>
      </c>
      <c r="EF19" s="119">
        <v>109</v>
      </c>
      <c r="EG19" s="119">
        <f t="shared" si="309"/>
        <v>22573</v>
      </c>
      <c r="EH19" s="120">
        <f>EG19-EC19</f>
        <v>41</v>
      </c>
      <c r="EI19" s="118">
        <v>22464</v>
      </c>
      <c r="EJ19" s="119">
        <v>51</v>
      </c>
      <c r="EK19" s="119">
        <f t="shared" si="310"/>
        <v>22515</v>
      </c>
      <c r="EL19" s="120">
        <f>EK19-EG19</f>
        <v>-58</v>
      </c>
      <c r="EM19" s="271"/>
      <c r="EN19" s="271"/>
      <c r="EO19" s="118">
        <v>22464</v>
      </c>
      <c r="EP19" s="119">
        <v>74</v>
      </c>
      <c r="EQ19" s="119">
        <f t="shared" si="311"/>
        <v>22538</v>
      </c>
      <c r="ER19" s="121">
        <f t="shared" ref="ER19:ER20" si="337">EQ19-EK19</f>
        <v>23</v>
      </c>
      <c r="ES19" s="118">
        <v>22464</v>
      </c>
      <c r="ET19" s="119">
        <v>61</v>
      </c>
      <c r="EU19" s="119">
        <f t="shared" si="263"/>
        <v>22525</v>
      </c>
      <c r="EV19" s="121">
        <f t="shared" ref="EV19:EV20" si="338">EU19-EO19</f>
        <v>61</v>
      </c>
      <c r="EW19" s="260"/>
      <c r="EX19" s="260"/>
      <c r="EY19" s="260"/>
      <c r="EZ19" s="260"/>
      <c r="FA19" s="118">
        <v>22464</v>
      </c>
      <c r="FB19" s="119">
        <v>68</v>
      </c>
      <c r="FC19" s="119">
        <f t="shared" si="264"/>
        <v>22532</v>
      </c>
      <c r="FD19" s="121"/>
      <c r="FE19" s="118">
        <v>22464</v>
      </c>
      <c r="FF19" s="119">
        <v>46</v>
      </c>
      <c r="FG19" s="119">
        <f t="shared" si="312"/>
        <v>22510</v>
      </c>
      <c r="FH19" s="13">
        <f>FG19-FC19</f>
        <v>-22</v>
      </c>
      <c r="FI19" s="118">
        <v>22464</v>
      </c>
      <c r="FJ19" s="119">
        <v>42</v>
      </c>
      <c r="FK19" s="119">
        <f t="shared" si="313"/>
        <v>22506</v>
      </c>
      <c r="FL19" s="13">
        <f>FK19-FG19</f>
        <v>-4</v>
      </c>
      <c r="FM19" s="260"/>
      <c r="FN19" s="260"/>
      <c r="FO19" s="260"/>
      <c r="FP19" s="260"/>
      <c r="FQ19" s="14"/>
      <c r="FR19" s="13"/>
      <c r="FS19" s="14"/>
      <c r="FT19" s="13"/>
      <c r="FU19" s="118">
        <v>22464</v>
      </c>
      <c r="FV19" s="119">
        <v>68</v>
      </c>
      <c r="FW19" s="119">
        <f t="shared" si="314"/>
        <v>22532</v>
      </c>
      <c r="FX19" s="13"/>
      <c r="FZ19" s="118"/>
      <c r="GA19" s="119"/>
      <c r="GB19" s="119"/>
      <c r="GC19" s="120"/>
      <c r="GD19" s="260"/>
      <c r="GE19" s="260"/>
      <c r="GF19" s="260"/>
      <c r="GG19" s="260"/>
      <c r="GH19" s="118">
        <v>22464</v>
      </c>
      <c r="GI19" s="119">
        <v>42</v>
      </c>
      <c r="GJ19" s="119">
        <f t="shared" si="268"/>
        <v>22506</v>
      </c>
      <c r="GK19" s="120"/>
      <c r="GL19" s="118">
        <v>22464</v>
      </c>
      <c r="GM19" s="119">
        <v>74</v>
      </c>
      <c r="GN19" s="119">
        <f t="shared" si="269"/>
        <v>22538</v>
      </c>
      <c r="GO19" s="120">
        <f t="shared" si="270"/>
        <v>32</v>
      </c>
      <c r="GP19" s="260"/>
      <c r="GQ19" s="260"/>
      <c r="GR19" s="260"/>
      <c r="GS19" s="260"/>
      <c r="GT19" s="118">
        <v>22464</v>
      </c>
      <c r="GU19" s="119">
        <v>56</v>
      </c>
      <c r="GV19" s="119">
        <f t="shared" si="271"/>
        <v>22520</v>
      </c>
      <c r="GW19" s="120"/>
      <c r="GX19" s="118">
        <v>22464</v>
      </c>
      <c r="GY19" s="119">
        <v>42</v>
      </c>
      <c r="GZ19" s="119">
        <f t="shared" si="272"/>
        <v>22506</v>
      </c>
      <c r="HA19" s="120">
        <f t="shared" si="273"/>
        <v>-14</v>
      </c>
      <c r="HB19" s="118">
        <v>22464</v>
      </c>
      <c r="HC19" s="119">
        <v>1</v>
      </c>
      <c r="HD19" s="119">
        <f t="shared" si="274"/>
        <v>22465</v>
      </c>
      <c r="HE19" s="120">
        <f t="shared" si="275"/>
        <v>-41</v>
      </c>
      <c r="HF19" s="118">
        <v>22464</v>
      </c>
      <c r="HG19" s="119">
        <v>61</v>
      </c>
      <c r="HH19" s="119">
        <f t="shared" si="276"/>
        <v>22525</v>
      </c>
      <c r="HI19" s="120">
        <f t="shared" si="277"/>
        <v>60</v>
      </c>
      <c r="HJ19" s="118">
        <v>22464</v>
      </c>
      <c r="HK19" s="119">
        <v>1</v>
      </c>
      <c r="HL19" s="119">
        <f t="shared" si="278"/>
        <v>22465</v>
      </c>
      <c r="HM19" s="120">
        <f t="shared" si="279"/>
        <v>-60</v>
      </c>
      <c r="HN19" s="118">
        <v>22464</v>
      </c>
      <c r="HO19" s="119">
        <v>46</v>
      </c>
      <c r="HP19" s="119">
        <f t="shared" si="280"/>
        <v>22510</v>
      </c>
      <c r="HQ19" s="120">
        <f t="shared" si="281"/>
        <v>45</v>
      </c>
      <c r="HR19" s="254"/>
      <c r="HS19" s="240"/>
      <c r="HT19" s="240"/>
      <c r="HU19" s="255"/>
      <c r="HV19" s="118">
        <v>22464</v>
      </c>
      <c r="HW19" s="119">
        <v>120</v>
      </c>
      <c r="HX19" s="119">
        <f t="shared" si="282"/>
        <v>22584</v>
      </c>
      <c r="HY19" s="120"/>
      <c r="HZ19" s="118">
        <v>22464</v>
      </c>
      <c r="IA19" s="119">
        <v>38</v>
      </c>
      <c r="IB19" s="119">
        <f t="shared" si="283"/>
        <v>22502</v>
      </c>
      <c r="IC19" s="120">
        <f t="shared" si="315"/>
        <v>-82</v>
      </c>
      <c r="ID19" s="118">
        <v>22464</v>
      </c>
      <c r="IE19" s="119">
        <v>82</v>
      </c>
      <c r="IF19" s="119">
        <f t="shared" si="285"/>
        <v>22546</v>
      </c>
      <c r="IG19" s="120">
        <f t="shared" si="316"/>
        <v>44</v>
      </c>
      <c r="IH19" s="118">
        <v>22464</v>
      </c>
      <c r="II19" s="119">
        <v>459</v>
      </c>
      <c r="IJ19" s="119">
        <f t="shared" si="286"/>
        <v>22923</v>
      </c>
      <c r="IK19" s="120">
        <f t="shared" si="317"/>
        <v>377</v>
      </c>
      <c r="IL19" s="118">
        <v>22464</v>
      </c>
      <c r="IM19" s="119">
        <v>1</v>
      </c>
      <c r="IN19" s="119">
        <f t="shared" si="287"/>
        <v>22465</v>
      </c>
      <c r="IO19" s="120">
        <f t="shared" si="318"/>
        <v>-458</v>
      </c>
      <c r="IP19" s="254"/>
      <c r="IQ19" s="240"/>
      <c r="IR19" s="240"/>
      <c r="IS19" s="255"/>
      <c r="IT19" s="254"/>
      <c r="IU19" s="240"/>
      <c r="IV19" s="240"/>
      <c r="IW19" s="255"/>
      <c r="IX19" s="118">
        <v>22464</v>
      </c>
      <c r="IY19" s="119">
        <v>56</v>
      </c>
      <c r="IZ19" s="119">
        <f t="shared" si="288"/>
        <v>22520</v>
      </c>
      <c r="JA19" s="120"/>
      <c r="JB19" s="118">
        <v>22464</v>
      </c>
      <c r="JC19" s="119">
        <v>1</v>
      </c>
      <c r="JD19" s="119">
        <f t="shared" si="289"/>
        <v>22465</v>
      </c>
      <c r="JE19" s="120">
        <f t="shared" si="319"/>
        <v>-55</v>
      </c>
      <c r="JF19" s="118">
        <v>22464</v>
      </c>
      <c r="JG19" s="119">
        <v>51</v>
      </c>
      <c r="JH19" s="119">
        <f t="shared" si="290"/>
        <v>22515</v>
      </c>
      <c r="JI19" s="120">
        <f t="shared" si="320"/>
        <v>50</v>
      </c>
      <c r="JJ19" s="118">
        <v>22464</v>
      </c>
      <c r="JK19" s="119">
        <v>1</v>
      </c>
      <c r="JL19" s="119">
        <f t="shared" si="291"/>
        <v>22465</v>
      </c>
      <c r="JM19" s="120">
        <f t="shared" si="321"/>
        <v>-50</v>
      </c>
      <c r="JN19" s="118">
        <v>22464</v>
      </c>
      <c r="JO19" s="119">
        <v>1</v>
      </c>
      <c r="JP19" s="119">
        <f t="shared" si="292"/>
        <v>22465</v>
      </c>
      <c r="JQ19" s="120">
        <f t="shared" si="322"/>
        <v>0</v>
      </c>
      <c r="JR19" s="118"/>
      <c r="JS19" s="119"/>
      <c r="JT19" s="119"/>
      <c r="JU19" s="120"/>
      <c r="JV19" s="254"/>
      <c r="JW19" s="240"/>
      <c r="JX19" s="240"/>
      <c r="JY19" s="255"/>
      <c r="JZ19" s="118">
        <v>22464</v>
      </c>
      <c r="KA19" s="119">
        <v>1</v>
      </c>
      <c r="KB19" s="119">
        <f t="shared" si="293"/>
        <v>22465</v>
      </c>
      <c r="KC19" s="120">
        <f t="shared" si="323"/>
        <v>22465</v>
      </c>
      <c r="KD19" s="118">
        <v>22464</v>
      </c>
      <c r="KE19" s="119">
        <v>505</v>
      </c>
      <c r="KF19" s="119">
        <f t="shared" si="294"/>
        <v>22969</v>
      </c>
      <c r="KG19" s="120">
        <f t="shared" si="324"/>
        <v>504</v>
      </c>
      <c r="KH19" s="118">
        <v>22464</v>
      </c>
      <c r="KI19" s="119">
        <v>813</v>
      </c>
      <c r="KJ19" s="119">
        <f t="shared" ref="KJ19:KJ20" si="339">KH19+KI19</f>
        <v>23277</v>
      </c>
      <c r="KK19" s="120">
        <f t="shared" si="325"/>
        <v>308</v>
      </c>
      <c r="KL19" s="118">
        <v>22464</v>
      </c>
      <c r="KM19" s="119">
        <v>813</v>
      </c>
      <c r="KN19" s="119">
        <f t="shared" ref="KN19:KN20" si="340">KL19+KM19</f>
        <v>23277</v>
      </c>
      <c r="KO19" s="120">
        <f t="shared" si="326"/>
        <v>0</v>
      </c>
      <c r="KP19" s="118">
        <v>22464</v>
      </c>
      <c r="KQ19" s="119">
        <v>1585</v>
      </c>
      <c r="KR19" s="119">
        <f t="shared" ref="KR19:KR20" si="341">KP19+KQ19</f>
        <v>24049</v>
      </c>
      <c r="KS19" s="120">
        <f t="shared" si="327"/>
        <v>772</v>
      </c>
      <c r="KU19" s="118">
        <v>22464</v>
      </c>
      <c r="KV19" s="119">
        <v>1585</v>
      </c>
      <c r="KW19" s="119">
        <f t="shared" ref="KW19:KW20" si="342">KU19+KV19</f>
        <v>24049</v>
      </c>
      <c r="KX19" s="120">
        <f t="shared" si="328"/>
        <v>23277</v>
      </c>
      <c r="KY19" s="260"/>
      <c r="KZ19" s="260"/>
      <c r="LA19" s="260"/>
      <c r="LB19" s="260"/>
      <c r="LC19" s="260"/>
      <c r="LD19" s="260"/>
      <c r="LE19" s="260"/>
      <c r="LF19" s="260"/>
      <c r="LG19" s="118">
        <v>22464</v>
      </c>
      <c r="LH19" s="119">
        <v>3398</v>
      </c>
      <c r="LI19" s="119">
        <f t="shared" ref="LI19:LI20" si="343">LG19-LH19</f>
        <v>19066</v>
      </c>
      <c r="LJ19" s="120"/>
      <c r="LK19" s="118"/>
      <c r="LL19" s="119"/>
      <c r="LM19" s="119"/>
      <c r="LN19" s="120"/>
      <c r="LO19" s="260"/>
      <c r="LP19" s="260"/>
      <c r="LQ19" s="260"/>
      <c r="LR19" s="260"/>
      <c r="LS19" s="260"/>
      <c r="LT19" s="260"/>
      <c r="LU19" s="260"/>
      <c r="LV19" s="260"/>
      <c r="LW19" s="118">
        <v>22464</v>
      </c>
      <c r="LX19" s="119">
        <v>5474</v>
      </c>
      <c r="LY19" s="119">
        <f t="shared" ref="LY19:LY20" si="344">LW19-LX19</f>
        <v>16990</v>
      </c>
      <c r="LZ19" s="120"/>
      <c r="MA19" s="260"/>
      <c r="MB19" s="260"/>
      <c r="MC19" s="260"/>
      <c r="MD19" s="260"/>
      <c r="ME19" s="118">
        <v>22464</v>
      </c>
      <c r="MF19" s="119">
        <v>6623</v>
      </c>
      <c r="MG19" s="119">
        <f t="shared" ref="MG19:MG20" si="345">ME19-MF19</f>
        <v>15841</v>
      </c>
      <c r="MH19" s="120"/>
      <c r="MI19" s="118">
        <v>22464</v>
      </c>
      <c r="MJ19" s="119">
        <v>7286</v>
      </c>
      <c r="MK19" s="119">
        <f t="shared" ref="MK19:MK20" si="346">MI19-MJ19</f>
        <v>15178</v>
      </c>
      <c r="ML19" s="120">
        <f t="shared" si="330"/>
        <v>-663</v>
      </c>
      <c r="MM19" s="118">
        <v>22464</v>
      </c>
      <c r="MN19" s="119">
        <v>8014</v>
      </c>
      <c r="MO19" s="119">
        <f t="shared" ref="MO19:MO20" si="347">MM19-MN19</f>
        <v>14450</v>
      </c>
      <c r="MP19" s="120">
        <f t="shared" si="331"/>
        <v>-728</v>
      </c>
      <c r="MQ19" s="118">
        <v>22464</v>
      </c>
      <c r="MR19" s="119">
        <v>10667</v>
      </c>
      <c r="MS19" s="119">
        <f t="shared" ref="MS19:MS20" si="348">MQ19-MR19</f>
        <v>11797</v>
      </c>
      <c r="MT19" s="120">
        <f t="shared" si="332"/>
        <v>-2653</v>
      </c>
      <c r="MU19" s="118">
        <v>22464</v>
      </c>
      <c r="MV19" s="119">
        <v>10667</v>
      </c>
      <c r="MW19" s="119">
        <f t="shared" ref="MW19:MW20" si="349">MU19-MV19</f>
        <v>11797</v>
      </c>
      <c r="MX19" s="120">
        <f t="shared" si="333"/>
        <v>0</v>
      </c>
      <c r="MY19" s="260"/>
      <c r="MZ19" s="260"/>
      <c r="NA19" s="260"/>
      <c r="NB19" s="260"/>
      <c r="NC19" s="260"/>
      <c r="ND19" s="260"/>
      <c r="NE19" s="260"/>
      <c r="NF19" s="260"/>
      <c r="NG19" s="118">
        <v>22464</v>
      </c>
      <c r="NH19" s="119">
        <v>74</v>
      </c>
      <c r="NI19" s="119"/>
      <c r="NJ19" s="120"/>
      <c r="NK19" s="118">
        <v>22464</v>
      </c>
      <c r="NL19" s="119">
        <v>74</v>
      </c>
      <c r="NM19" s="119"/>
      <c r="NN19" s="120"/>
      <c r="NO19" s="118">
        <v>22464</v>
      </c>
      <c r="NP19" s="119">
        <v>51</v>
      </c>
      <c r="NQ19" s="157">
        <f t="shared" si="92"/>
        <v>22515</v>
      </c>
      <c r="NR19" s="120"/>
      <c r="NS19" s="118">
        <v>22464</v>
      </c>
      <c r="NT19" s="119">
        <v>82</v>
      </c>
      <c r="NU19" s="157">
        <f t="shared" si="93"/>
        <v>22546</v>
      </c>
      <c r="NV19" s="120"/>
      <c r="NW19" s="260"/>
      <c r="NX19" s="260"/>
      <c r="NY19" s="260"/>
      <c r="NZ19" s="260"/>
      <c r="OA19" s="118">
        <v>22464</v>
      </c>
      <c r="OB19" s="119">
        <v>82</v>
      </c>
      <c r="OC19" s="157">
        <f t="shared" si="94"/>
        <v>22546</v>
      </c>
      <c r="OD19" s="120"/>
      <c r="OE19" s="260"/>
      <c r="OF19" s="260"/>
      <c r="OG19" s="260"/>
      <c r="OH19" s="260"/>
      <c r="OI19" s="118">
        <v>22464</v>
      </c>
      <c r="OJ19" s="119">
        <v>61</v>
      </c>
      <c r="OK19" s="119">
        <v>22526</v>
      </c>
      <c r="OL19" s="120"/>
      <c r="OM19" s="118">
        <v>22464</v>
      </c>
      <c r="ON19" s="119">
        <v>61</v>
      </c>
      <c r="OO19" s="119">
        <v>22526</v>
      </c>
      <c r="OP19" s="120"/>
      <c r="OQ19" s="118">
        <v>22464</v>
      </c>
      <c r="OR19" s="119">
        <v>61</v>
      </c>
      <c r="OS19" s="119">
        <v>22526</v>
      </c>
      <c r="OT19" s="120"/>
      <c r="OU19" s="118">
        <v>22464</v>
      </c>
      <c r="OV19" s="119">
        <v>46</v>
      </c>
      <c r="OW19" s="119">
        <v>22510</v>
      </c>
      <c r="OX19" s="120"/>
      <c r="OY19" s="118">
        <v>22464</v>
      </c>
      <c r="OZ19" s="119">
        <v>46</v>
      </c>
      <c r="PA19" s="119">
        <v>22510</v>
      </c>
      <c r="PB19" s="120"/>
      <c r="PC19" s="118">
        <v>22464</v>
      </c>
      <c r="PD19" s="119">
        <v>61</v>
      </c>
      <c r="PE19" s="119">
        <v>22526</v>
      </c>
      <c r="PF19" s="120"/>
      <c r="PG19" s="118"/>
      <c r="PH19" s="119"/>
      <c r="PI19" s="119"/>
      <c r="PJ19" s="120"/>
      <c r="PK19" s="118">
        <v>22464</v>
      </c>
      <c r="PL19" s="119">
        <v>61</v>
      </c>
      <c r="PM19" s="119">
        <v>22526</v>
      </c>
      <c r="PN19" s="120"/>
      <c r="PP19" s="118">
        <v>22464</v>
      </c>
      <c r="PQ19" s="119">
        <v>4112</v>
      </c>
      <c r="PR19" s="119">
        <v>26577</v>
      </c>
      <c r="PS19" s="120"/>
      <c r="PT19" s="118">
        <v>22464</v>
      </c>
      <c r="PU19" s="119">
        <v>4112</v>
      </c>
      <c r="PV19" s="119">
        <v>26577</v>
      </c>
      <c r="PW19" s="120"/>
      <c r="PX19" s="118">
        <v>22464</v>
      </c>
      <c r="PY19" s="119">
        <v>4112</v>
      </c>
      <c r="PZ19" s="119">
        <v>26577</v>
      </c>
      <c r="QA19" s="120"/>
      <c r="QB19" s="118">
        <v>22464</v>
      </c>
      <c r="QC19" s="119">
        <v>4112</v>
      </c>
      <c r="QD19" s="119">
        <v>26577</v>
      </c>
      <c r="QE19" s="120"/>
      <c r="QF19" s="118">
        <v>22464</v>
      </c>
      <c r="QG19" s="119">
        <v>984</v>
      </c>
      <c r="QH19" s="119">
        <v>23448</v>
      </c>
      <c r="QI19" s="120"/>
      <c r="QJ19" s="290"/>
      <c r="QK19" s="290"/>
      <c r="QL19" s="290"/>
      <c r="QM19" s="290"/>
      <c r="QN19" s="118">
        <v>22464</v>
      </c>
      <c r="QO19" s="119">
        <v>2808</v>
      </c>
      <c r="QP19" s="119">
        <v>25273</v>
      </c>
      <c r="QQ19" s="120"/>
      <c r="QR19" s="118">
        <v>22464</v>
      </c>
      <c r="QS19" s="119">
        <v>2808</v>
      </c>
      <c r="QT19" s="119">
        <v>25273</v>
      </c>
      <c r="QU19" s="120"/>
      <c r="QV19" s="118">
        <v>22464</v>
      </c>
      <c r="QW19" s="119">
        <v>2808</v>
      </c>
      <c r="QX19" s="119">
        <v>25273</v>
      </c>
      <c r="QY19" s="120"/>
      <c r="QZ19" s="118">
        <v>22464</v>
      </c>
      <c r="RA19" s="119">
        <v>2808</v>
      </c>
      <c r="RB19" s="119">
        <v>25273</v>
      </c>
      <c r="RC19" s="120"/>
      <c r="RD19" s="118">
        <v>22464</v>
      </c>
      <c r="RE19" s="119">
        <v>2808</v>
      </c>
      <c r="RF19" s="119">
        <v>25273</v>
      </c>
      <c r="RG19" s="120"/>
      <c r="RH19" s="118">
        <v>22464</v>
      </c>
      <c r="RI19" s="119">
        <v>2808</v>
      </c>
      <c r="RJ19" s="119">
        <v>25273</v>
      </c>
      <c r="RK19" s="120"/>
      <c r="RL19" s="240"/>
      <c r="RM19" s="240"/>
      <c r="RN19" s="240"/>
      <c r="RO19" s="240"/>
      <c r="RP19" s="118">
        <v>22464</v>
      </c>
      <c r="RQ19" s="119">
        <v>2808</v>
      </c>
      <c r="RR19" s="119">
        <v>25273</v>
      </c>
      <c r="RS19" s="120"/>
      <c r="RT19" s="118">
        <v>22464</v>
      </c>
      <c r="RU19" s="119">
        <v>2808</v>
      </c>
      <c r="RV19" s="119">
        <v>25273</v>
      </c>
      <c r="RW19" s="120"/>
      <c r="RX19" s="118">
        <v>22464</v>
      </c>
      <c r="RY19" s="119">
        <v>6623</v>
      </c>
      <c r="RZ19" s="119">
        <v>29088</v>
      </c>
      <c r="SA19" s="120"/>
    </row>
    <row r="20" spans="1:495" x14ac:dyDescent="0.3">
      <c r="A20" s="292">
        <v>15</v>
      </c>
      <c r="B20" s="4" t="s">
        <v>25</v>
      </c>
      <c r="C20" s="6" t="s">
        <v>52</v>
      </c>
      <c r="D20" s="283"/>
      <c r="E20" s="14">
        <v>76264</v>
      </c>
      <c r="F20" s="192"/>
      <c r="G20" s="35">
        <v>76115</v>
      </c>
      <c r="H20" s="43">
        <v>76126</v>
      </c>
      <c r="I20" s="44">
        <f t="shared" si="0"/>
        <v>11</v>
      </c>
      <c r="J20" s="43">
        <v>80118</v>
      </c>
      <c r="K20" s="44">
        <f>J20-H20</f>
        <v>3992</v>
      </c>
      <c r="L20" s="43">
        <v>76182</v>
      </c>
      <c r="M20" s="44">
        <f>L20-J20</f>
        <v>-3936</v>
      </c>
      <c r="N20" s="43">
        <f>76005+4524</f>
        <v>80529</v>
      </c>
      <c r="O20" s="44">
        <f>N20-L20</f>
        <v>4347</v>
      </c>
      <c r="P20" s="43">
        <f>76005+214</f>
        <v>76219</v>
      </c>
      <c r="Q20" s="44">
        <f>P20-N20</f>
        <v>-4310</v>
      </c>
      <c r="R20" s="232"/>
      <c r="S20" s="233"/>
      <c r="T20" s="43">
        <f>76005+417</f>
        <v>76422</v>
      </c>
      <c r="U20" s="35">
        <f>T20-P20</f>
        <v>203</v>
      </c>
      <c r="V20" s="43">
        <f>76005+379</f>
        <v>76384</v>
      </c>
      <c r="W20" s="44">
        <f>V20-T20</f>
        <v>-38</v>
      </c>
      <c r="X20" s="38">
        <f>76005+6021</f>
        <v>82026</v>
      </c>
      <c r="Y20" s="13">
        <f>X20-V20</f>
        <v>5642</v>
      </c>
      <c r="Z20" s="13">
        <f>76005+3089</f>
        <v>79094</v>
      </c>
      <c r="AA20" s="35">
        <f>Z20-X20</f>
        <v>-2932</v>
      </c>
      <c r="AB20" s="43">
        <f>76005+6623</f>
        <v>82628</v>
      </c>
      <c r="AC20" s="44">
        <f>AB20-Z20</f>
        <v>3534</v>
      </c>
      <c r="AD20" s="38">
        <f>76164+259</f>
        <v>76423</v>
      </c>
      <c r="AE20" s="13">
        <f>AD20-AB20</f>
        <v>-6205</v>
      </c>
      <c r="AF20" s="232"/>
      <c r="AG20" s="233"/>
      <c r="AH20" s="14">
        <f>80382+4524</f>
        <v>84906</v>
      </c>
      <c r="AI20" s="13">
        <f>AH20-AD20</f>
        <v>8483</v>
      </c>
      <c r="AJ20" s="14">
        <f>80382+7266</f>
        <v>87648</v>
      </c>
      <c r="AK20" s="13">
        <f>AJ20-AH20</f>
        <v>2742</v>
      </c>
      <c r="AL20" s="232"/>
      <c r="AM20" s="233"/>
      <c r="AN20" s="232"/>
      <c r="AO20" s="233"/>
      <c r="AP20" s="14">
        <f>87515+1310</f>
        <v>88825</v>
      </c>
      <c r="AQ20" s="13"/>
      <c r="AR20" s="13">
        <f>87515+2553</f>
        <v>90068</v>
      </c>
      <c r="AS20" s="13">
        <f>AR20-AP20</f>
        <v>1243</v>
      </c>
      <c r="AT20" s="285"/>
      <c r="AU20" s="285"/>
      <c r="AV20" s="14">
        <f>95485+4524</f>
        <v>100009</v>
      </c>
      <c r="AW20" s="13">
        <f>AV20-AR20</f>
        <v>9941</v>
      </c>
      <c r="AX20" s="14">
        <f>95485+894</f>
        <v>96379</v>
      </c>
      <c r="AY20" s="13">
        <f>AX20-AV20</f>
        <v>-3630</v>
      </c>
      <c r="AZ20" s="14">
        <f>95485+9697</f>
        <v>105182</v>
      </c>
      <c r="BA20" s="13">
        <f>AZ20-AX20</f>
        <v>8803</v>
      </c>
      <c r="BB20" s="14">
        <f>98136+194</f>
        <v>98330</v>
      </c>
      <c r="BC20" s="13">
        <f>BB20-AZ20</f>
        <v>-6852</v>
      </c>
      <c r="BD20" s="14">
        <f>99436+9697</f>
        <v>109133</v>
      </c>
      <c r="BE20" s="13">
        <f>BD20-BB20</f>
        <v>10803</v>
      </c>
      <c r="BF20" s="14">
        <f>102639+9697</f>
        <v>112336</v>
      </c>
      <c r="BG20" s="13">
        <f>BF20-BD20</f>
        <v>3203</v>
      </c>
      <c r="BH20" s="269"/>
      <c r="BI20" s="269"/>
      <c r="BJ20" s="18"/>
      <c r="BK20" s="118">
        <v>106980</v>
      </c>
      <c r="BL20" s="119">
        <v>4976</v>
      </c>
      <c r="BM20" s="119">
        <f>BK20+BL20</f>
        <v>111956</v>
      </c>
      <c r="BN20" s="120"/>
      <c r="BO20" s="118">
        <v>106980</v>
      </c>
      <c r="BP20" s="119">
        <v>10667</v>
      </c>
      <c r="BQ20" s="119">
        <f>BO20+BP20</f>
        <v>117647</v>
      </c>
      <c r="BR20" s="120">
        <f>BQ20-BM20</f>
        <v>5691</v>
      </c>
      <c r="BS20" s="118">
        <v>106980</v>
      </c>
      <c r="BT20" s="119">
        <v>194</v>
      </c>
      <c r="BU20" s="119">
        <f>BS20+BT20</f>
        <v>107174</v>
      </c>
      <c r="BV20" s="120">
        <f>BU20-BQ20</f>
        <v>-10473</v>
      </c>
      <c r="BW20" s="118">
        <v>109507</v>
      </c>
      <c r="BX20" s="119">
        <v>10667</v>
      </c>
      <c r="BY20" s="119">
        <f>BW20+BX20</f>
        <v>120174</v>
      </c>
      <c r="BZ20" s="120">
        <f>BY20-BU20</f>
        <v>13000</v>
      </c>
      <c r="CA20" s="118">
        <v>110447</v>
      </c>
      <c r="CB20" s="119">
        <v>2110</v>
      </c>
      <c r="CC20" s="119">
        <f>CA20+CB20</f>
        <v>112557</v>
      </c>
      <c r="CD20" s="120">
        <f>CC20-BY20</f>
        <v>-7617</v>
      </c>
      <c r="CE20" s="118">
        <v>110447</v>
      </c>
      <c r="CF20" s="119">
        <v>11734</v>
      </c>
      <c r="CG20" s="119">
        <f>CE20+CF20</f>
        <v>122181</v>
      </c>
      <c r="CH20" s="120">
        <f>CG20-CC20</f>
        <v>9624</v>
      </c>
      <c r="CI20" s="254"/>
      <c r="CJ20" s="240"/>
      <c r="CK20" s="240"/>
      <c r="CL20" s="255"/>
      <c r="CM20" s="118">
        <v>118370</v>
      </c>
      <c r="CN20" s="119">
        <v>10667</v>
      </c>
      <c r="CO20" s="119">
        <f t="shared" si="334"/>
        <v>129037</v>
      </c>
      <c r="CP20" s="120">
        <f>CO20-CG20</f>
        <v>6856</v>
      </c>
      <c r="CQ20" s="118">
        <v>123501</v>
      </c>
      <c r="CR20" s="119">
        <v>10667</v>
      </c>
      <c r="CS20" s="119">
        <f t="shared" ref="CS20" si="350">CQ20+CR20</f>
        <v>134168</v>
      </c>
      <c r="CT20" s="121">
        <f>CS20-CO20</f>
        <v>5131</v>
      </c>
      <c r="CU20" s="118">
        <v>123501</v>
      </c>
      <c r="CV20" s="119">
        <v>12908</v>
      </c>
      <c r="CW20" s="119">
        <f t="shared" si="303"/>
        <v>136409</v>
      </c>
      <c r="CX20" s="120">
        <f>CW20-CS20</f>
        <v>2241</v>
      </c>
      <c r="CY20" s="118">
        <v>129988</v>
      </c>
      <c r="CZ20" s="119">
        <v>6623</v>
      </c>
      <c r="DA20" s="119">
        <f t="shared" si="304"/>
        <v>136611</v>
      </c>
      <c r="DB20" s="120">
        <f>DA20-CW20</f>
        <v>202</v>
      </c>
      <c r="DC20" s="118">
        <v>133892</v>
      </c>
      <c r="DD20" s="119">
        <v>3738</v>
      </c>
      <c r="DE20" s="119">
        <f t="shared" ref="DE20" si="351">DC20+DD20</f>
        <v>137630</v>
      </c>
      <c r="DF20" s="120">
        <f>DE20-DA20</f>
        <v>1019</v>
      </c>
      <c r="DG20" s="254"/>
      <c r="DH20" s="240"/>
      <c r="DI20" s="240"/>
      <c r="DJ20" s="240"/>
      <c r="DK20" s="254"/>
      <c r="DL20" s="240"/>
      <c r="DM20" s="240"/>
      <c r="DN20" s="240"/>
      <c r="DO20" s="118">
        <v>135082</v>
      </c>
      <c r="DP20" s="119">
        <v>12908</v>
      </c>
      <c r="DQ20" s="119">
        <f t="shared" si="306"/>
        <v>147990</v>
      </c>
      <c r="DR20" s="120"/>
      <c r="DS20" s="118">
        <v>135082</v>
      </c>
      <c r="DT20" s="119">
        <v>9697</v>
      </c>
      <c r="DU20" s="119">
        <f t="shared" si="307"/>
        <v>144779</v>
      </c>
      <c r="DV20" s="120">
        <f>DU20-DQ20</f>
        <v>-3211</v>
      </c>
      <c r="DW20" s="118">
        <v>135082</v>
      </c>
      <c r="DX20" s="119">
        <v>264</v>
      </c>
      <c r="DY20" s="119">
        <f t="shared" si="258"/>
        <v>135346</v>
      </c>
      <c r="DZ20" s="120">
        <f>DY20-DU20</f>
        <v>-9433</v>
      </c>
      <c r="EA20" s="118">
        <v>135082</v>
      </c>
      <c r="EB20" s="119">
        <v>74</v>
      </c>
      <c r="EC20" s="119">
        <f t="shared" si="308"/>
        <v>135156</v>
      </c>
      <c r="ED20" s="120">
        <f>EC20-DY20</f>
        <v>-190</v>
      </c>
      <c r="EE20" s="118">
        <v>135082</v>
      </c>
      <c r="EF20" s="119">
        <v>120</v>
      </c>
      <c r="EG20" s="119">
        <f t="shared" si="309"/>
        <v>135202</v>
      </c>
      <c r="EH20" s="120">
        <f>EG20-EC20</f>
        <v>46</v>
      </c>
      <c r="EI20" s="118">
        <v>135082</v>
      </c>
      <c r="EJ20" s="119">
        <v>259</v>
      </c>
      <c r="EK20" s="119">
        <f t="shared" si="310"/>
        <v>135341</v>
      </c>
      <c r="EL20" s="120">
        <f>EK20-EG20</f>
        <v>139</v>
      </c>
      <c r="EM20" s="271"/>
      <c r="EN20" s="271"/>
      <c r="EO20" s="118">
        <v>135082</v>
      </c>
      <c r="EP20" s="119">
        <v>132</v>
      </c>
      <c r="EQ20" s="119">
        <f t="shared" si="311"/>
        <v>135214</v>
      </c>
      <c r="ER20" s="121">
        <f t="shared" si="337"/>
        <v>-127</v>
      </c>
      <c r="ES20" s="118">
        <v>135082</v>
      </c>
      <c r="ET20" s="119">
        <v>3738</v>
      </c>
      <c r="EU20" s="119">
        <f t="shared" si="263"/>
        <v>138820</v>
      </c>
      <c r="EV20" s="121">
        <f t="shared" si="338"/>
        <v>3738</v>
      </c>
      <c r="EW20" s="260"/>
      <c r="EX20" s="260"/>
      <c r="EY20" s="260"/>
      <c r="EZ20" s="260"/>
      <c r="FA20" s="118">
        <v>135082</v>
      </c>
      <c r="FB20" s="119">
        <v>74</v>
      </c>
      <c r="FC20" s="119">
        <f t="shared" ref="FC20" si="352">FA20+FB20</f>
        <v>135156</v>
      </c>
      <c r="FD20" s="13"/>
      <c r="FE20" s="118">
        <v>135082</v>
      </c>
      <c r="FF20" s="119">
        <v>99</v>
      </c>
      <c r="FG20" s="119">
        <f t="shared" ref="FG20" si="353">FE20+FF20</f>
        <v>135181</v>
      </c>
      <c r="FH20" s="13">
        <f>FG20-FC20</f>
        <v>25</v>
      </c>
      <c r="FI20" s="118">
        <v>135082</v>
      </c>
      <c r="FJ20" s="119">
        <v>505</v>
      </c>
      <c r="FK20" s="119">
        <f t="shared" ref="FK20" si="354">FI20+FJ20</f>
        <v>135587</v>
      </c>
      <c r="FL20" s="13">
        <f>FK20-FG20</f>
        <v>406</v>
      </c>
      <c r="FM20" s="260"/>
      <c r="FN20" s="260"/>
      <c r="FO20" s="260"/>
      <c r="FP20" s="260"/>
      <c r="FQ20" s="14"/>
      <c r="FR20" s="13"/>
      <c r="FS20" s="14"/>
      <c r="FT20" s="13"/>
      <c r="FU20" s="118">
        <v>135082</v>
      </c>
      <c r="FV20" s="119">
        <v>82</v>
      </c>
      <c r="FW20" s="119">
        <f t="shared" ref="FW20" si="355">FU20+FV20</f>
        <v>135164</v>
      </c>
      <c r="FX20" s="13"/>
      <c r="FZ20" s="118"/>
      <c r="GA20" s="119"/>
      <c r="GB20" s="119"/>
      <c r="GC20" s="120"/>
      <c r="GD20" s="260"/>
      <c r="GE20" s="260"/>
      <c r="GF20" s="260"/>
      <c r="GG20" s="260"/>
      <c r="GH20" s="118">
        <v>135082</v>
      </c>
      <c r="GI20" s="119">
        <v>61</v>
      </c>
      <c r="GJ20" s="119">
        <f t="shared" si="268"/>
        <v>135143</v>
      </c>
      <c r="GK20" s="120"/>
      <c r="GL20" s="118">
        <v>135082</v>
      </c>
      <c r="GM20" s="119">
        <v>82</v>
      </c>
      <c r="GN20" s="119">
        <f t="shared" si="269"/>
        <v>135164</v>
      </c>
      <c r="GO20" s="120">
        <f t="shared" si="270"/>
        <v>21</v>
      </c>
      <c r="GP20" s="260"/>
      <c r="GQ20" s="260"/>
      <c r="GR20" s="260"/>
      <c r="GS20" s="260"/>
      <c r="GT20" s="118">
        <v>135082</v>
      </c>
      <c r="GU20" s="119">
        <v>160</v>
      </c>
      <c r="GV20" s="119">
        <f t="shared" si="271"/>
        <v>135242</v>
      </c>
      <c r="GW20" s="120"/>
      <c r="GX20" s="118">
        <v>135082</v>
      </c>
      <c r="GY20" s="119">
        <v>68</v>
      </c>
      <c r="GZ20" s="119">
        <f t="shared" si="272"/>
        <v>135150</v>
      </c>
      <c r="HA20" s="120">
        <f t="shared" si="273"/>
        <v>-92</v>
      </c>
      <c r="HB20" s="118">
        <v>135082</v>
      </c>
      <c r="HC20" s="119">
        <v>10</v>
      </c>
      <c r="HD20" s="119">
        <f t="shared" si="274"/>
        <v>135092</v>
      </c>
      <c r="HE20" s="120">
        <f t="shared" si="275"/>
        <v>-58</v>
      </c>
      <c r="HF20" s="118">
        <v>135082</v>
      </c>
      <c r="HG20" s="119">
        <v>68</v>
      </c>
      <c r="HH20" s="119">
        <f t="shared" si="276"/>
        <v>135150</v>
      </c>
      <c r="HI20" s="120">
        <f t="shared" si="277"/>
        <v>58</v>
      </c>
      <c r="HJ20" s="118">
        <v>135082</v>
      </c>
      <c r="HK20" s="119">
        <v>28</v>
      </c>
      <c r="HL20" s="119">
        <f t="shared" si="278"/>
        <v>135110</v>
      </c>
      <c r="HM20" s="120">
        <f t="shared" si="279"/>
        <v>-40</v>
      </c>
      <c r="HN20" s="118">
        <v>135082</v>
      </c>
      <c r="HO20" s="119">
        <v>160</v>
      </c>
      <c r="HP20" s="119">
        <f t="shared" si="280"/>
        <v>135242</v>
      </c>
      <c r="HQ20" s="120">
        <f t="shared" si="281"/>
        <v>132</v>
      </c>
      <c r="HR20" s="254"/>
      <c r="HS20" s="240"/>
      <c r="HT20" s="240"/>
      <c r="HU20" s="255"/>
      <c r="HV20" s="118">
        <v>135082</v>
      </c>
      <c r="HW20" s="119">
        <v>68</v>
      </c>
      <c r="HX20" s="119">
        <f t="shared" si="282"/>
        <v>135150</v>
      </c>
      <c r="HY20" s="120"/>
      <c r="HZ20" s="118">
        <v>135082</v>
      </c>
      <c r="IA20" s="119">
        <v>74</v>
      </c>
      <c r="IB20" s="119">
        <f t="shared" si="283"/>
        <v>135156</v>
      </c>
      <c r="IC20" s="120">
        <f t="shared" si="315"/>
        <v>6</v>
      </c>
      <c r="ID20" s="118">
        <v>135082</v>
      </c>
      <c r="IE20" s="119">
        <v>82</v>
      </c>
      <c r="IF20" s="119">
        <f t="shared" si="285"/>
        <v>135164</v>
      </c>
      <c r="IG20" s="120">
        <f t="shared" si="316"/>
        <v>8</v>
      </c>
      <c r="IH20" s="118">
        <v>135082</v>
      </c>
      <c r="II20" s="119">
        <v>984</v>
      </c>
      <c r="IJ20" s="119">
        <f t="shared" si="286"/>
        <v>136066</v>
      </c>
      <c r="IK20" s="120">
        <f t="shared" si="317"/>
        <v>902</v>
      </c>
      <c r="IL20" s="118">
        <v>135082</v>
      </c>
      <c r="IM20" s="119">
        <v>17</v>
      </c>
      <c r="IN20" s="119">
        <f t="shared" si="287"/>
        <v>135099</v>
      </c>
      <c r="IO20" s="120">
        <f t="shared" si="318"/>
        <v>-967</v>
      </c>
      <c r="IP20" s="254"/>
      <c r="IQ20" s="240"/>
      <c r="IR20" s="240"/>
      <c r="IS20" s="255"/>
      <c r="IT20" s="254"/>
      <c r="IU20" s="240"/>
      <c r="IV20" s="240"/>
      <c r="IW20" s="255"/>
      <c r="IX20" s="118">
        <v>135082</v>
      </c>
      <c r="IY20" s="119">
        <v>74</v>
      </c>
      <c r="IZ20" s="119">
        <f t="shared" si="288"/>
        <v>135156</v>
      </c>
      <c r="JA20" s="120"/>
      <c r="JB20" s="118">
        <v>135082</v>
      </c>
      <c r="JC20" s="119">
        <v>74</v>
      </c>
      <c r="JD20" s="119">
        <f t="shared" si="289"/>
        <v>135156</v>
      </c>
      <c r="JE20" s="120">
        <f t="shared" si="319"/>
        <v>0</v>
      </c>
      <c r="JF20" s="118">
        <v>135082</v>
      </c>
      <c r="JG20" s="119">
        <v>21</v>
      </c>
      <c r="JH20" s="119">
        <f t="shared" si="290"/>
        <v>135103</v>
      </c>
      <c r="JI20" s="120">
        <f t="shared" si="320"/>
        <v>-53</v>
      </c>
      <c r="JJ20" s="118">
        <v>135082</v>
      </c>
      <c r="JK20" s="119">
        <v>17</v>
      </c>
      <c r="JL20" s="119">
        <f t="shared" si="291"/>
        <v>135099</v>
      </c>
      <c r="JM20" s="120">
        <f t="shared" si="321"/>
        <v>-4</v>
      </c>
      <c r="JN20" s="118">
        <v>135082</v>
      </c>
      <c r="JO20" s="119">
        <v>2</v>
      </c>
      <c r="JP20" s="119">
        <f t="shared" si="292"/>
        <v>135084</v>
      </c>
      <c r="JQ20" s="120">
        <f t="shared" si="322"/>
        <v>-15</v>
      </c>
      <c r="JR20" s="118"/>
      <c r="JS20" s="119"/>
      <c r="JT20" s="119"/>
      <c r="JU20" s="120"/>
      <c r="JV20" s="254"/>
      <c r="JW20" s="240"/>
      <c r="JX20" s="240"/>
      <c r="JY20" s="255"/>
      <c r="JZ20" s="118">
        <v>135082</v>
      </c>
      <c r="KA20" s="119">
        <v>23</v>
      </c>
      <c r="KB20" s="119">
        <f t="shared" si="293"/>
        <v>135105</v>
      </c>
      <c r="KC20" s="120">
        <f t="shared" si="323"/>
        <v>135105</v>
      </c>
      <c r="KD20" s="118">
        <v>135082</v>
      </c>
      <c r="KE20" s="119">
        <v>1191</v>
      </c>
      <c r="KF20" s="119">
        <f t="shared" si="294"/>
        <v>136273</v>
      </c>
      <c r="KG20" s="120">
        <f t="shared" si="324"/>
        <v>1168</v>
      </c>
      <c r="KH20" s="118">
        <v>135082</v>
      </c>
      <c r="KI20" s="119">
        <v>2110</v>
      </c>
      <c r="KJ20" s="119">
        <f t="shared" si="339"/>
        <v>137192</v>
      </c>
      <c r="KK20" s="120">
        <f t="shared" si="325"/>
        <v>919</v>
      </c>
      <c r="KL20" s="118">
        <v>135082</v>
      </c>
      <c r="KM20" s="119">
        <v>3089</v>
      </c>
      <c r="KN20" s="119">
        <f t="shared" si="340"/>
        <v>138171</v>
      </c>
      <c r="KO20" s="120">
        <f t="shared" si="326"/>
        <v>979</v>
      </c>
      <c r="KP20" s="118">
        <v>135082</v>
      </c>
      <c r="KQ20" s="119">
        <v>4524</v>
      </c>
      <c r="KR20" s="119">
        <f t="shared" si="341"/>
        <v>139606</v>
      </c>
      <c r="KS20" s="120">
        <f t="shared" si="327"/>
        <v>1435</v>
      </c>
      <c r="KU20" s="118">
        <v>135082</v>
      </c>
      <c r="KV20" s="119">
        <v>4524</v>
      </c>
      <c r="KW20" s="119">
        <f t="shared" si="342"/>
        <v>139606</v>
      </c>
      <c r="KX20" s="120">
        <f t="shared" si="328"/>
        <v>138171</v>
      </c>
      <c r="KY20" s="260"/>
      <c r="KZ20" s="260"/>
      <c r="LA20" s="260"/>
      <c r="LB20" s="260"/>
      <c r="LC20" s="260"/>
      <c r="LD20" s="260"/>
      <c r="LE20" s="260"/>
      <c r="LF20" s="260"/>
      <c r="LG20" s="118">
        <v>135082</v>
      </c>
      <c r="LH20" s="119">
        <v>8014</v>
      </c>
      <c r="LI20" s="119">
        <f t="shared" si="343"/>
        <v>127068</v>
      </c>
      <c r="LJ20" s="120"/>
      <c r="LK20" s="118"/>
      <c r="LL20" s="119"/>
      <c r="LM20" s="119"/>
      <c r="LN20" s="120"/>
      <c r="LO20" s="260"/>
      <c r="LP20" s="260"/>
      <c r="LQ20" s="260"/>
      <c r="LR20" s="260"/>
      <c r="LS20" s="260"/>
      <c r="LT20" s="260"/>
      <c r="LU20" s="260"/>
      <c r="LV20" s="260"/>
      <c r="LW20" s="118">
        <v>135082</v>
      </c>
      <c r="LX20" s="119">
        <v>14198</v>
      </c>
      <c r="LY20" s="119">
        <f t="shared" si="344"/>
        <v>120884</v>
      </c>
      <c r="LZ20" s="120"/>
      <c r="MA20" s="260"/>
      <c r="MB20" s="260"/>
      <c r="MC20" s="260"/>
      <c r="MD20" s="260"/>
      <c r="ME20" s="118">
        <v>135082</v>
      </c>
      <c r="MF20" s="119">
        <v>17180</v>
      </c>
      <c r="MG20" s="119">
        <f t="shared" si="345"/>
        <v>117902</v>
      </c>
      <c r="MH20" s="120"/>
      <c r="MI20" s="118">
        <v>135082</v>
      </c>
      <c r="MJ20" s="119">
        <v>18898</v>
      </c>
      <c r="MK20" s="119">
        <f t="shared" si="346"/>
        <v>116184</v>
      </c>
      <c r="ML20" s="120">
        <f t="shared" si="330"/>
        <v>-1718</v>
      </c>
      <c r="MM20" s="118">
        <v>135082</v>
      </c>
      <c r="MN20" s="119">
        <v>22867</v>
      </c>
      <c r="MO20" s="119">
        <f t="shared" si="347"/>
        <v>112215</v>
      </c>
      <c r="MP20" s="120">
        <f t="shared" si="331"/>
        <v>-3969</v>
      </c>
      <c r="MQ20" s="118">
        <v>135082</v>
      </c>
      <c r="MR20" s="119">
        <v>30436</v>
      </c>
      <c r="MS20" s="119">
        <f t="shared" si="348"/>
        <v>104646</v>
      </c>
      <c r="MT20" s="120">
        <f t="shared" si="332"/>
        <v>-7569</v>
      </c>
      <c r="MU20" s="118">
        <v>135082</v>
      </c>
      <c r="MV20" s="119">
        <v>30436</v>
      </c>
      <c r="MW20" s="119">
        <f t="shared" si="349"/>
        <v>104646</v>
      </c>
      <c r="MX20" s="120">
        <f t="shared" si="333"/>
        <v>0</v>
      </c>
      <c r="MY20" s="260"/>
      <c r="MZ20" s="260"/>
      <c r="NA20" s="260"/>
      <c r="NB20" s="260"/>
      <c r="NC20" s="260"/>
      <c r="ND20" s="260"/>
      <c r="NE20" s="260"/>
      <c r="NF20" s="260"/>
      <c r="NG20" s="118">
        <v>135082</v>
      </c>
      <c r="NH20" s="119">
        <v>99</v>
      </c>
      <c r="NI20" s="119"/>
      <c r="NJ20" s="120"/>
      <c r="NK20" s="118">
        <v>135082</v>
      </c>
      <c r="NL20" s="119">
        <v>99</v>
      </c>
      <c r="NM20" s="119"/>
      <c r="NN20" s="120"/>
      <c r="NO20" s="118">
        <v>135082</v>
      </c>
      <c r="NP20" s="119">
        <v>313</v>
      </c>
      <c r="NQ20" s="157">
        <f t="shared" si="92"/>
        <v>135395</v>
      </c>
      <c r="NR20" s="120"/>
      <c r="NS20" s="118">
        <v>135082</v>
      </c>
      <c r="NT20" s="119">
        <v>90</v>
      </c>
      <c r="NU20" s="157">
        <f t="shared" si="93"/>
        <v>135172</v>
      </c>
      <c r="NV20" s="120"/>
      <c r="NW20" s="260"/>
      <c r="NX20" s="260"/>
      <c r="NY20" s="260"/>
      <c r="NZ20" s="260"/>
      <c r="OA20" s="118">
        <v>135082</v>
      </c>
      <c r="OB20" s="119">
        <v>90</v>
      </c>
      <c r="OC20" s="157">
        <f t="shared" si="94"/>
        <v>135172</v>
      </c>
      <c r="OD20" s="120"/>
      <c r="OE20" s="260"/>
      <c r="OF20" s="260"/>
      <c r="OG20" s="260"/>
      <c r="OH20" s="260"/>
      <c r="OI20" s="118">
        <v>135082</v>
      </c>
      <c r="OJ20" s="119">
        <v>90</v>
      </c>
      <c r="OK20" s="119">
        <v>135173</v>
      </c>
      <c r="OL20" s="120"/>
      <c r="OM20" s="118">
        <v>135082</v>
      </c>
      <c r="ON20" s="119">
        <v>90</v>
      </c>
      <c r="OO20" s="119">
        <v>135173</v>
      </c>
      <c r="OP20" s="120"/>
      <c r="OQ20" s="118">
        <v>135082</v>
      </c>
      <c r="OR20" s="119">
        <v>90</v>
      </c>
      <c r="OS20" s="119">
        <v>135173</v>
      </c>
      <c r="OT20" s="120"/>
      <c r="OU20" s="118">
        <v>135082</v>
      </c>
      <c r="OV20" s="119">
        <v>379</v>
      </c>
      <c r="OW20" s="119">
        <v>135462</v>
      </c>
      <c r="OX20" s="120"/>
      <c r="OY20" s="118">
        <v>135082</v>
      </c>
      <c r="OZ20" s="119">
        <v>379</v>
      </c>
      <c r="PA20" s="119">
        <v>135462</v>
      </c>
      <c r="PB20" s="120"/>
      <c r="PC20" s="118">
        <v>135082</v>
      </c>
      <c r="PD20" s="119">
        <v>160</v>
      </c>
      <c r="PE20" s="119">
        <v>135243</v>
      </c>
      <c r="PF20" s="120"/>
      <c r="PG20" s="118"/>
      <c r="PH20" s="119"/>
      <c r="PI20" s="119"/>
      <c r="PJ20" s="120"/>
      <c r="PK20" s="118">
        <v>135082</v>
      </c>
      <c r="PL20" s="119">
        <v>160</v>
      </c>
      <c r="PM20" s="119">
        <v>135243</v>
      </c>
      <c r="PN20" s="120"/>
      <c r="PP20" s="118">
        <v>135082</v>
      </c>
      <c r="PQ20" s="119">
        <v>146</v>
      </c>
      <c r="PR20" s="119">
        <v>135228</v>
      </c>
      <c r="PS20" s="120"/>
      <c r="PT20" s="118">
        <v>135082</v>
      </c>
      <c r="PU20" s="119">
        <v>146</v>
      </c>
      <c r="PV20" s="119">
        <v>135228</v>
      </c>
      <c r="PW20" s="120"/>
      <c r="PX20" s="118">
        <v>135082</v>
      </c>
      <c r="PY20" s="119">
        <v>146</v>
      </c>
      <c r="PZ20" s="119">
        <v>135228</v>
      </c>
      <c r="QA20" s="120"/>
      <c r="QB20" s="118">
        <v>135082</v>
      </c>
      <c r="QC20" s="119">
        <v>146</v>
      </c>
      <c r="QD20" s="119">
        <v>135228</v>
      </c>
      <c r="QE20" s="120"/>
      <c r="QF20" s="118">
        <v>135082</v>
      </c>
      <c r="QG20" s="119">
        <v>38</v>
      </c>
      <c r="QH20" s="119">
        <v>135121</v>
      </c>
      <c r="QI20" s="120"/>
      <c r="QJ20" s="290"/>
      <c r="QK20" s="290"/>
      <c r="QL20" s="290"/>
      <c r="QM20" s="290"/>
      <c r="QN20" s="118">
        <v>135082</v>
      </c>
      <c r="QO20" s="119">
        <v>38</v>
      </c>
      <c r="QP20" s="119">
        <v>135121</v>
      </c>
      <c r="QQ20" s="120"/>
      <c r="QR20" s="118">
        <v>135082</v>
      </c>
      <c r="QS20" s="119">
        <v>38</v>
      </c>
      <c r="QT20" s="119">
        <v>135121</v>
      </c>
      <c r="QU20" s="120"/>
      <c r="QV20" s="118">
        <v>135082</v>
      </c>
      <c r="QW20" s="119">
        <v>38</v>
      </c>
      <c r="QX20" s="119">
        <v>135121</v>
      </c>
      <c r="QY20" s="120"/>
      <c r="QZ20" s="118">
        <v>135082</v>
      </c>
      <c r="RA20" s="119">
        <v>38</v>
      </c>
      <c r="RB20" s="119">
        <v>135121</v>
      </c>
      <c r="RC20" s="120"/>
      <c r="RD20" s="118">
        <v>135082</v>
      </c>
      <c r="RE20" s="119">
        <v>38</v>
      </c>
      <c r="RF20" s="119">
        <v>135121</v>
      </c>
      <c r="RG20" s="120"/>
      <c r="RH20" s="118">
        <v>135082</v>
      </c>
      <c r="RI20" s="119">
        <v>38</v>
      </c>
      <c r="RJ20" s="119">
        <v>135121</v>
      </c>
      <c r="RK20" s="120"/>
      <c r="RL20" s="240"/>
      <c r="RM20" s="240"/>
      <c r="RN20" s="240"/>
      <c r="RO20" s="240"/>
      <c r="RP20" s="118">
        <v>135082</v>
      </c>
      <c r="RQ20" s="119">
        <v>38</v>
      </c>
      <c r="RR20" s="119">
        <v>135121</v>
      </c>
      <c r="RS20" s="120"/>
      <c r="RT20" s="118">
        <v>135082</v>
      </c>
      <c r="RU20" s="119">
        <v>38</v>
      </c>
      <c r="RV20" s="119">
        <v>135121</v>
      </c>
      <c r="RW20" s="120"/>
      <c r="RX20" s="118">
        <v>135082</v>
      </c>
      <c r="RY20" s="119">
        <v>51</v>
      </c>
      <c r="RZ20" s="119">
        <v>135133</v>
      </c>
      <c r="SA20" s="120"/>
    </row>
    <row r="21" spans="1:495" x14ac:dyDescent="0.3">
      <c r="A21" s="291">
        <v>16</v>
      </c>
      <c r="B21" s="25" t="s">
        <v>26</v>
      </c>
      <c r="C21" s="26" t="s">
        <v>47</v>
      </c>
      <c r="D21" s="283"/>
      <c r="E21" s="27"/>
      <c r="F21" s="192"/>
      <c r="G21" s="36"/>
      <c r="H21" s="46"/>
      <c r="I21" s="47">
        <f t="shared" si="0"/>
        <v>0</v>
      </c>
      <c r="J21" s="46"/>
      <c r="K21" s="47"/>
      <c r="L21" s="46"/>
      <c r="M21" s="47"/>
      <c r="N21" s="46"/>
      <c r="O21" s="47"/>
      <c r="P21" s="46"/>
      <c r="Q21" s="47"/>
      <c r="R21" s="232"/>
      <c r="S21" s="233"/>
      <c r="T21" s="46"/>
      <c r="U21" s="36"/>
      <c r="V21" s="46"/>
      <c r="W21" s="47"/>
      <c r="X21" s="39"/>
      <c r="Y21" s="32"/>
      <c r="Z21" s="32"/>
      <c r="AA21" s="36"/>
      <c r="AB21" s="46"/>
      <c r="AC21" s="47"/>
      <c r="AD21" s="39"/>
      <c r="AE21" s="32"/>
      <c r="AF21" s="232"/>
      <c r="AG21" s="233"/>
      <c r="AH21" s="27"/>
      <c r="AI21" s="32"/>
      <c r="AJ21" s="27"/>
      <c r="AK21" s="32"/>
      <c r="AL21" s="232"/>
      <c r="AM21" s="233"/>
      <c r="AN21" s="232"/>
      <c r="AO21" s="233"/>
      <c r="AP21" s="27"/>
      <c r="AQ21" s="32"/>
      <c r="AR21" s="27"/>
      <c r="AS21" s="32"/>
      <c r="AT21" s="285"/>
      <c r="AU21" s="285"/>
      <c r="AV21" s="27"/>
      <c r="AW21" s="32"/>
      <c r="AX21" s="27"/>
      <c r="AY21" s="32"/>
      <c r="AZ21" s="27"/>
      <c r="BA21" s="32"/>
      <c r="BB21" s="27"/>
      <c r="BC21" s="32"/>
      <c r="BD21" s="27"/>
      <c r="BE21" s="32"/>
      <c r="BF21" s="27"/>
      <c r="BG21" s="32"/>
      <c r="BH21" s="269"/>
      <c r="BI21" s="269"/>
      <c r="BJ21" s="18"/>
      <c r="BK21" s="113"/>
      <c r="BL21" s="114"/>
      <c r="BM21" s="114"/>
      <c r="BN21" s="115"/>
      <c r="BO21" s="113"/>
      <c r="BP21" s="114"/>
      <c r="BQ21" s="114"/>
      <c r="BR21" s="115"/>
      <c r="BS21" s="113"/>
      <c r="BT21" s="114"/>
      <c r="BU21" s="114"/>
      <c r="BV21" s="115"/>
      <c r="BW21" s="113"/>
      <c r="BX21" s="114"/>
      <c r="BY21" s="114"/>
      <c r="BZ21" s="115"/>
      <c r="CA21" s="113"/>
      <c r="CB21" s="114"/>
      <c r="CC21" s="114"/>
      <c r="CD21" s="116"/>
      <c r="CE21" s="113"/>
      <c r="CF21" s="114"/>
      <c r="CG21" s="114"/>
      <c r="CH21" s="115"/>
      <c r="CI21" s="254"/>
      <c r="CJ21" s="240"/>
      <c r="CK21" s="240"/>
      <c r="CL21" s="255"/>
      <c r="CM21" s="113"/>
      <c r="CN21" s="114"/>
      <c r="CO21" s="114"/>
      <c r="CP21" s="115"/>
      <c r="CQ21" s="113"/>
      <c r="CR21" s="114"/>
      <c r="CS21" s="114"/>
      <c r="CT21" s="115"/>
      <c r="CU21" s="113"/>
      <c r="CV21" s="114"/>
      <c r="CW21" s="114"/>
      <c r="CX21" s="115"/>
      <c r="CY21" s="113"/>
      <c r="CZ21" s="114"/>
      <c r="DA21" s="114"/>
      <c r="DB21" s="115"/>
      <c r="DC21" s="113"/>
      <c r="DD21" s="114"/>
      <c r="DE21" s="114"/>
      <c r="DF21" s="115"/>
      <c r="DG21" s="254"/>
      <c r="DH21" s="240"/>
      <c r="DI21" s="240"/>
      <c r="DJ21" s="240"/>
      <c r="DK21" s="254"/>
      <c r="DL21" s="240"/>
      <c r="DM21" s="240"/>
      <c r="DN21" s="240"/>
      <c r="DO21" s="113"/>
      <c r="DP21" s="114"/>
      <c r="DQ21" s="114"/>
      <c r="DR21" s="115"/>
      <c r="DS21" s="113"/>
      <c r="DT21" s="114"/>
      <c r="DU21" s="114"/>
      <c r="DV21" s="115"/>
      <c r="DW21" s="117"/>
      <c r="DX21" s="117"/>
      <c r="DY21" s="117"/>
      <c r="DZ21" s="114"/>
      <c r="EA21" s="117"/>
      <c r="EB21" s="117"/>
      <c r="EC21" s="117"/>
      <c r="ED21" s="114"/>
      <c r="EE21" s="114"/>
      <c r="EF21" s="114"/>
      <c r="EG21" s="27"/>
      <c r="EH21" s="32"/>
      <c r="EI21" s="27"/>
      <c r="EJ21" s="32"/>
      <c r="EK21" s="27"/>
      <c r="EL21" s="32"/>
      <c r="EM21" s="271"/>
      <c r="EN21" s="271"/>
      <c r="EO21" s="27"/>
      <c r="EP21" s="32"/>
      <c r="EQ21" s="27"/>
      <c r="ER21" s="32"/>
      <c r="ES21" s="27"/>
      <c r="ET21" s="114"/>
      <c r="EU21" s="27"/>
      <c r="EV21" s="32"/>
      <c r="EW21" s="260"/>
      <c r="EX21" s="260"/>
      <c r="EY21" s="260"/>
      <c r="EZ21" s="260"/>
      <c r="FA21" s="27"/>
      <c r="FB21" s="32"/>
      <c r="FC21" s="27"/>
      <c r="FD21" s="32"/>
      <c r="FE21" s="27"/>
      <c r="FF21" s="32"/>
      <c r="FG21" s="27"/>
      <c r="FH21" s="32"/>
      <c r="FI21" s="27"/>
      <c r="FJ21" s="32"/>
      <c r="FK21" s="27"/>
      <c r="FL21" s="32"/>
      <c r="FM21" s="260"/>
      <c r="FN21" s="260"/>
      <c r="FO21" s="260"/>
      <c r="FP21" s="260"/>
      <c r="FQ21" s="27"/>
      <c r="FR21" s="32"/>
      <c r="FS21" s="27"/>
      <c r="FT21" s="32"/>
      <c r="FU21" s="27"/>
      <c r="FV21" s="32"/>
      <c r="FW21" s="27"/>
      <c r="FX21" s="32"/>
      <c r="FZ21" s="113"/>
      <c r="GA21" s="114"/>
      <c r="GB21" s="114"/>
      <c r="GC21" s="115"/>
      <c r="GD21" s="260"/>
      <c r="GE21" s="260"/>
      <c r="GF21" s="260"/>
      <c r="GG21" s="260"/>
      <c r="GH21" s="27"/>
      <c r="GI21" s="32"/>
      <c r="GJ21" s="27"/>
      <c r="GK21" s="115"/>
      <c r="GL21" s="27"/>
      <c r="GM21" s="32"/>
      <c r="GN21" s="27"/>
      <c r="GO21" s="115"/>
      <c r="GP21" s="260"/>
      <c r="GQ21" s="260"/>
      <c r="GR21" s="260"/>
      <c r="GS21" s="260"/>
      <c r="GT21" s="27"/>
      <c r="GU21" s="32"/>
      <c r="GV21" s="27"/>
      <c r="GW21" s="115"/>
      <c r="GX21" s="27"/>
      <c r="GY21" s="32"/>
      <c r="GZ21" s="27"/>
      <c r="HA21" s="115"/>
      <c r="HB21" s="27"/>
      <c r="HC21" s="32"/>
      <c r="HD21" s="27"/>
      <c r="HE21" s="115"/>
      <c r="HF21" s="27"/>
      <c r="HG21" s="32"/>
      <c r="HH21" s="27"/>
      <c r="HI21" s="115"/>
      <c r="HJ21" s="27"/>
      <c r="HK21" s="32"/>
      <c r="HL21" s="27"/>
      <c r="HM21" s="115"/>
      <c r="HN21" s="27"/>
      <c r="HO21" s="32"/>
      <c r="HP21" s="27"/>
      <c r="HQ21" s="115"/>
      <c r="HR21" s="254"/>
      <c r="HS21" s="240"/>
      <c r="HT21" s="240"/>
      <c r="HU21" s="255"/>
      <c r="HV21" s="27"/>
      <c r="HW21" s="32"/>
      <c r="HX21" s="27"/>
      <c r="HY21" s="115"/>
      <c r="HZ21" s="27"/>
      <c r="IA21" s="32"/>
      <c r="IB21" s="27"/>
      <c r="IC21" s="115"/>
      <c r="ID21" s="27"/>
      <c r="IE21" s="32"/>
      <c r="IF21" s="27"/>
      <c r="IG21" s="115"/>
      <c r="IH21" s="27"/>
      <c r="II21" s="32"/>
      <c r="IJ21" s="27"/>
      <c r="IK21" s="115"/>
      <c r="IL21" s="27"/>
      <c r="IM21" s="32"/>
      <c r="IN21" s="27"/>
      <c r="IO21" s="115"/>
      <c r="IP21" s="254"/>
      <c r="IQ21" s="240"/>
      <c r="IR21" s="240"/>
      <c r="IS21" s="255"/>
      <c r="IT21" s="254"/>
      <c r="IU21" s="240"/>
      <c r="IV21" s="240"/>
      <c r="IW21" s="255"/>
      <c r="IX21" s="27"/>
      <c r="IY21" s="32"/>
      <c r="IZ21" s="27"/>
      <c r="JA21" s="115"/>
      <c r="JB21" s="27"/>
      <c r="JC21" s="32"/>
      <c r="JD21" s="27"/>
      <c r="JE21" s="115"/>
      <c r="JF21" s="27"/>
      <c r="JG21" s="32"/>
      <c r="JH21" s="27"/>
      <c r="JI21" s="115"/>
      <c r="JJ21" s="27"/>
      <c r="JK21" s="32"/>
      <c r="JL21" s="27"/>
      <c r="JM21" s="115"/>
      <c r="JN21" s="27"/>
      <c r="JO21" s="32"/>
      <c r="JP21" s="27"/>
      <c r="JQ21" s="115"/>
      <c r="JR21" s="27"/>
      <c r="JS21" s="32"/>
      <c r="JT21" s="27"/>
      <c r="JU21" s="115"/>
      <c r="JV21" s="254"/>
      <c r="JW21" s="240"/>
      <c r="JX21" s="240"/>
      <c r="JY21" s="255"/>
      <c r="JZ21" s="27"/>
      <c r="KA21" s="32"/>
      <c r="KB21" s="27"/>
      <c r="KC21" s="115"/>
      <c r="KD21" s="27"/>
      <c r="KE21" s="32"/>
      <c r="KF21" s="27"/>
      <c r="KG21" s="115"/>
      <c r="KH21" s="27"/>
      <c r="KI21" s="32"/>
      <c r="KJ21" s="27"/>
      <c r="KK21" s="115"/>
      <c r="KL21" s="27"/>
      <c r="KM21" s="32"/>
      <c r="KN21" s="27"/>
      <c r="KO21" s="115"/>
      <c r="KP21" s="27"/>
      <c r="KQ21" s="32"/>
      <c r="KR21" s="27"/>
      <c r="KS21" s="115"/>
      <c r="KU21" s="27"/>
      <c r="KV21" s="32"/>
      <c r="KW21" s="27"/>
      <c r="KX21" s="115"/>
      <c r="KY21" s="260"/>
      <c r="KZ21" s="260"/>
      <c r="LA21" s="260"/>
      <c r="LB21" s="260"/>
      <c r="LC21" s="260"/>
      <c r="LD21" s="260"/>
      <c r="LE21" s="260"/>
      <c r="LF21" s="260"/>
      <c r="LG21" s="27"/>
      <c r="LH21" s="32"/>
      <c r="LI21" s="114">
        <f t="shared" ref="LI21" si="356">LG21+LH21</f>
        <v>0</v>
      </c>
      <c r="LJ21" s="115"/>
      <c r="LK21" s="27"/>
      <c r="LL21" s="32"/>
      <c r="LM21" s="114"/>
      <c r="LN21" s="115"/>
      <c r="LO21" s="260"/>
      <c r="LP21" s="260"/>
      <c r="LQ21" s="260"/>
      <c r="LR21" s="260"/>
      <c r="LS21" s="260"/>
      <c r="LT21" s="260"/>
      <c r="LU21" s="260"/>
      <c r="LV21" s="260"/>
      <c r="LW21" s="27"/>
      <c r="LX21" s="32"/>
      <c r="LY21" s="114">
        <f t="shared" ref="LY21" si="357">LW21+LX21</f>
        <v>0</v>
      </c>
      <c r="LZ21" s="115"/>
      <c r="MA21" s="260"/>
      <c r="MB21" s="260"/>
      <c r="MC21" s="260"/>
      <c r="MD21" s="260"/>
      <c r="ME21" s="27"/>
      <c r="MF21" s="32"/>
      <c r="MG21" s="114">
        <f t="shared" ref="MG21" si="358">ME21+MF21</f>
        <v>0</v>
      </c>
      <c r="MH21" s="115"/>
      <c r="MI21" s="27"/>
      <c r="MJ21" s="32"/>
      <c r="MK21" s="114">
        <f t="shared" ref="MK21" si="359">MI21+MJ21</f>
        <v>0</v>
      </c>
      <c r="ML21" s="115"/>
      <c r="MM21" s="27"/>
      <c r="MN21" s="32"/>
      <c r="MO21" s="114">
        <f t="shared" ref="MO21" si="360">MM21+MN21</f>
        <v>0</v>
      </c>
      <c r="MP21" s="115"/>
      <c r="MQ21" s="27"/>
      <c r="MR21" s="32"/>
      <c r="MS21" s="114">
        <f t="shared" ref="MS21" si="361">MQ21+MR21</f>
        <v>0</v>
      </c>
      <c r="MT21" s="115"/>
      <c r="MU21" s="27"/>
      <c r="MV21" s="32"/>
      <c r="MW21" s="114">
        <f t="shared" ref="MW21" si="362">MU21+MV21</f>
        <v>0</v>
      </c>
      <c r="MX21" s="115"/>
      <c r="MY21" s="260"/>
      <c r="MZ21" s="260"/>
      <c r="NA21" s="260"/>
      <c r="NB21" s="260"/>
      <c r="NC21" s="260"/>
      <c r="ND21" s="260"/>
      <c r="NE21" s="260"/>
      <c r="NF21" s="260"/>
      <c r="NG21" s="27"/>
      <c r="NH21" s="32"/>
      <c r="NI21" s="27"/>
      <c r="NJ21" s="115"/>
      <c r="NK21" s="27"/>
      <c r="NL21" s="32"/>
      <c r="NM21" s="27"/>
      <c r="NN21" s="115"/>
      <c r="NO21" s="27"/>
      <c r="NP21" s="32"/>
      <c r="NQ21" s="114">
        <f t="shared" si="92"/>
        <v>0</v>
      </c>
      <c r="NR21" s="115"/>
      <c r="NS21" s="27"/>
      <c r="NT21" s="32"/>
      <c r="NU21" s="114">
        <f t="shared" si="93"/>
        <v>0</v>
      </c>
      <c r="NV21" s="115"/>
      <c r="NW21" s="260"/>
      <c r="NX21" s="260"/>
      <c r="NY21" s="260"/>
      <c r="NZ21" s="260"/>
      <c r="OA21" s="27"/>
      <c r="OB21" s="32"/>
      <c r="OC21" s="114">
        <f t="shared" si="94"/>
        <v>0</v>
      </c>
      <c r="OD21" s="115"/>
      <c r="OE21" s="260"/>
      <c r="OF21" s="260"/>
      <c r="OG21" s="260"/>
      <c r="OH21" s="260"/>
      <c r="OI21" s="27"/>
      <c r="OJ21" s="32"/>
      <c r="OK21" s="27"/>
      <c r="OL21" s="115"/>
      <c r="OM21" s="27"/>
      <c r="ON21" s="32"/>
      <c r="OO21" s="27"/>
      <c r="OP21" s="115"/>
      <c r="OQ21" s="27"/>
      <c r="OR21" s="32"/>
      <c r="OS21" s="27"/>
      <c r="OT21" s="115"/>
      <c r="OU21" s="27"/>
      <c r="OV21" s="32"/>
      <c r="OW21" s="27"/>
      <c r="OX21" s="115"/>
      <c r="OY21" s="27"/>
      <c r="OZ21" s="32"/>
      <c r="PA21" s="27"/>
      <c r="PB21" s="115"/>
      <c r="PC21" s="27"/>
      <c r="PD21" s="32"/>
      <c r="PE21" s="27"/>
      <c r="PF21" s="115"/>
      <c r="PG21" s="27"/>
      <c r="PH21" s="32"/>
      <c r="PI21" s="27"/>
      <c r="PJ21" s="115"/>
      <c r="PK21" s="27"/>
      <c r="PL21" s="32"/>
      <c r="PM21" s="27"/>
      <c r="PN21" s="115"/>
      <c r="PP21" s="27"/>
      <c r="PQ21" s="32"/>
      <c r="PR21" s="27"/>
      <c r="PS21" s="115"/>
      <c r="PT21" s="27"/>
      <c r="PU21" s="32"/>
      <c r="PV21" s="27"/>
      <c r="PW21" s="115"/>
      <c r="PX21" s="27"/>
      <c r="PY21" s="32"/>
      <c r="PZ21" s="27"/>
      <c r="QA21" s="115"/>
      <c r="QB21" s="27"/>
      <c r="QC21" s="32"/>
      <c r="QD21" s="27"/>
      <c r="QE21" s="115"/>
      <c r="QF21" s="27"/>
      <c r="QG21" s="32"/>
      <c r="QH21" s="27"/>
      <c r="QI21" s="115"/>
      <c r="QJ21" s="290"/>
      <c r="QK21" s="290"/>
      <c r="QL21" s="290"/>
      <c r="QM21" s="290"/>
      <c r="QN21" s="27"/>
      <c r="QO21" s="32"/>
      <c r="QP21" s="27"/>
      <c r="QQ21" s="115"/>
      <c r="QR21" s="27"/>
      <c r="QS21" s="32"/>
      <c r="QT21" s="27"/>
      <c r="QU21" s="115"/>
      <c r="QV21" s="27"/>
      <c r="QW21" s="32"/>
      <c r="QX21" s="27"/>
      <c r="QY21" s="115"/>
      <c r="QZ21" s="27"/>
      <c r="RA21" s="32"/>
      <c r="RB21" s="27"/>
      <c r="RC21" s="115"/>
      <c r="RD21" s="27"/>
      <c r="RE21" s="32"/>
      <c r="RF21" s="27"/>
      <c r="RG21" s="115"/>
      <c r="RH21" s="27"/>
      <c r="RI21" s="32"/>
      <c r="RJ21" s="27"/>
      <c r="RK21" s="115"/>
      <c r="RL21" s="240"/>
      <c r="RM21" s="240"/>
      <c r="RN21" s="240"/>
      <c r="RO21" s="240"/>
      <c r="RP21" s="27"/>
      <c r="RQ21" s="32"/>
      <c r="RR21" s="27"/>
      <c r="RS21" s="115"/>
      <c r="RT21" s="27"/>
      <c r="RU21" s="32"/>
      <c r="RV21" s="27"/>
      <c r="RW21" s="115"/>
      <c r="RX21" s="27"/>
      <c r="RY21" s="32"/>
      <c r="RZ21" s="27"/>
      <c r="SA21" s="115"/>
    </row>
    <row r="22" spans="1:495" s="153" customFormat="1" x14ac:dyDescent="0.3">
      <c r="A22" s="291">
        <v>17</v>
      </c>
      <c r="B22" s="25" t="s">
        <v>54</v>
      </c>
      <c r="C22" s="26" t="s">
        <v>55</v>
      </c>
      <c r="D22" s="283"/>
      <c r="E22" s="27"/>
      <c r="F22" s="192"/>
      <c r="G22" s="36"/>
      <c r="H22" s="46"/>
      <c r="I22" s="47">
        <f t="shared" si="0"/>
        <v>0</v>
      </c>
      <c r="J22" s="46"/>
      <c r="K22" s="47"/>
      <c r="L22" s="46"/>
      <c r="M22" s="47"/>
      <c r="N22" s="46"/>
      <c r="O22" s="47"/>
      <c r="P22" s="46"/>
      <c r="Q22" s="47"/>
      <c r="R22" s="232"/>
      <c r="S22" s="233"/>
      <c r="T22" s="46"/>
      <c r="U22" s="36"/>
      <c r="V22" s="46"/>
      <c r="W22" s="47"/>
      <c r="X22" s="39"/>
      <c r="Y22" s="32"/>
      <c r="Z22" s="32"/>
      <c r="AA22" s="36"/>
      <c r="AB22" s="46"/>
      <c r="AC22" s="47"/>
      <c r="AD22" s="39"/>
      <c r="AE22" s="32"/>
      <c r="AF22" s="232"/>
      <c r="AG22" s="233"/>
      <c r="AH22" s="27"/>
      <c r="AI22" s="32"/>
      <c r="AJ22" s="27"/>
      <c r="AK22" s="32"/>
      <c r="AL22" s="232"/>
      <c r="AM22" s="233"/>
      <c r="AN22" s="232"/>
      <c r="AO22" s="233"/>
      <c r="AP22" s="27"/>
      <c r="AQ22" s="32"/>
      <c r="AR22" s="27"/>
      <c r="AS22" s="32"/>
      <c r="AT22" s="285"/>
      <c r="AU22" s="285"/>
      <c r="AV22" s="27"/>
      <c r="AW22" s="32"/>
      <c r="AX22" s="27"/>
      <c r="AY22" s="32"/>
      <c r="AZ22" s="27"/>
      <c r="BA22" s="32"/>
      <c r="BB22" s="27"/>
      <c r="BC22" s="32"/>
      <c r="BD22" s="27"/>
      <c r="BE22" s="32"/>
      <c r="BF22" s="27"/>
      <c r="BG22" s="32"/>
      <c r="BH22" s="269"/>
      <c r="BI22" s="269"/>
      <c r="BJ22" s="155"/>
      <c r="BK22" s="113"/>
      <c r="BL22" s="114"/>
      <c r="BM22" s="114"/>
      <c r="BN22" s="115"/>
      <c r="BO22" s="113"/>
      <c r="BP22" s="114"/>
      <c r="BQ22" s="114"/>
      <c r="BR22" s="115"/>
      <c r="BS22" s="113"/>
      <c r="BT22" s="114"/>
      <c r="BU22" s="114"/>
      <c r="BV22" s="115"/>
      <c r="BW22" s="113"/>
      <c r="BX22" s="114"/>
      <c r="BY22" s="114"/>
      <c r="BZ22" s="115"/>
      <c r="CA22" s="113"/>
      <c r="CB22" s="114"/>
      <c r="CC22" s="114"/>
      <c r="CD22" s="116"/>
      <c r="CE22" s="113"/>
      <c r="CF22" s="114"/>
      <c r="CG22" s="114"/>
      <c r="CH22" s="115"/>
      <c r="CI22" s="254"/>
      <c r="CJ22" s="240"/>
      <c r="CK22" s="240"/>
      <c r="CL22" s="255"/>
      <c r="CM22" s="113"/>
      <c r="CN22" s="114"/>
      <c r="CO22" s="114"/>
      <c r="CP22" s="115"/>
      <c r="CQ22" s="113"/>
      <c r="CR22" s="114"/>
      <c r="CS22" s="114"/>
      <c r="CT22" s="115"/>
      <c r="CU22" s="113"/>
      <c r="CV22" s="114"/>
      <c r="CW22" s="114"/>
      <c r="CX22" s="115"/>
      <c r="CY22" s="113"/>
      <c r="CZ22" s="114"/>
      <c r="DA22" s="114"/>
      <c r="DB22" s="115"/>
      <c r="DC22" s="113"/>
      <c r="DD22" s="114"/>
      <c r="DE22" s="114"/>
      <c r="DF22" s="115"/>
      <c r="DG22" s="254"/>
      <c r="DH22" s="240"/>
      <c r="DI22" s="240"/>
      <c r="DJ22" s="240"/>
      <c r="DK22" s="254"/>
      <c r="DL22" s="240"/>
      <c r="DM22" s="240"/>
      <c r="DN22" s="240"/>
      <c r="DO22" s="113"/>
      <c r="DP22" s="114"/>
      <c r="DQ22" s="114"/>
      <c r="DR22" s="115"/>
      <c r="DS22" s="113"/>
      <c r="DT22" s="114"/>
      <c r="DU22" s="114"/>
      <c r="DV22" s="115"/>
      <c r="DW22" s="117"/>
      <c r="DX22" s="117"/>
      <c r="DY22" s="117"/>
      <c r="DZ22" s="114"/>
      <c r="EA22" s="117"/>
      <c r="EB22" s="117"/>
      <c r="EC22" s="117"/>
      <c r="ED22" s="114"/>
      <c r="EE22" s="114"/>
      <c r="EF22" s="114"/>
      <c r="EG22" s="27"/>
      <c r="EH22" s="32"/>
      <c r="EI22" s="27"/>
      <c r="EJ22" s="32"/>
      <c r="EK22" s="27"/>
      <c r="EL22" s="32"/>
      <c r="EM22" s="271"/>
      <c r="EN22" s="271"/>
      <c r="EO22" s="27"/>
      <c r="EP22" s="32"/>
      <c r="EQ22" s="27"/>
      <c r="ER22" s="32"/>
      <c r="ES22" s="27"/>
      <c r="ET22" s="114"/>
      <c r="EU22" s="27"/>
      <c r="EV22" s="32"/>
      <c r="EW22" s="260"/>
      <c r="EX22" s="260"/>
      <c r="EY22" s="260"/>
      <c r="EZ22" s="260"/>
      <c r="FA22" s="27"/>
      <c r="FB22" s="32"/>
      <c r="FC22" s="27"/>
      <c r="FD22" s="32"/>
      <c r="FE22" s="27"/>
      <c r="FF22" s="32"/>
      <c r="FG22" s="27"/>
      <c r="FH22" s="32"/>
      <c r="FI22" s="27"/>
      <c r="FJ22" s="32"/>
      <c r="FK22" s="27"/>
      <c r="FL22" s="32"/>
      <c r="FM22" s="260"/>
      <c r="FN22" s="260"/>
      <c r="FO22" s="260"/>
      <c r="FP22" s="260"/>
      <c r="FQ22" s="27"/>
      <c r="FR22" s="32"/>
      <c r="FS22" s="27"/>
      <c r="FT22" s="32"/>
      <c r="FU22" s="27"/>
      <c r="FV22" s="32"/>
      <c r="FW22" s="27"/>
      <c r="FX22" s="32"/>
      <c r="FZ22" s="113"/>
      <c r="GA22" s="114"/>
      <c r="GB22" s="114"/>
      <c r="GC22" s="115"/>
      <c r="GD22" s="260"/>
      <c r="GE22" s="260"/>
      <c r="GF22" s="260"/>
      <c r="GG22" s="260"/>
      <c r="GH22" s="27"/>
      <c r="GI22" s="32"/>
      <c r="GJ22" s="27"/>
      <c r="GK22" s="115"/>
      <c r="GL22" s="27"/>
      <c r="GM22" s="32"/>
      <c r="GN22" s="27"/>
      <c r="GO22" s="115"/>
      <c r="GP22" s="260"/>
      <c r="GQ22" s="260"/>
      <c r="GR22" s="260"/>
      <c r="GS22" s="260"/>
      <c r="GT22" s="27"/>
      <c r="GU22" s="32"/>
      <c r="GV22" s="27"/>
      <c r="GW22" s="115"/>
      <c r="GX22" s="27"/>
      <c r="GY22" s="32"/>
      <c r="GZ22" s="27"/>
      <c r="HA22" s="115"/>
      <c r="HB22" s="27"/>
      <c r="HC22" s="32"/>
      <c r="HD22" s="27"/>
      <c r="HE22" s="115"/>
      <c r="HF22" s="27"/>
      <c r="HG22" s="32"/>
      <c r="HH22" s="27"/>
      <c r="HI22" s="115"/>
      <c r="HJ22" s="27"/>
      <c r="HK22" s="32"/>
      <c r="HL22" s="27"/>
      <c r="HM22" s="115"/>
      <c r="HN22" s="27"/>
      <c r="HO22" s="32"/>
      <c r="HP22" s="27"/>
      <c r="HQ22" s="115"/>
      <c r="HR22" s="254"/>
      <c r="HS22" s="240"/>
      <c r="HT22" s="240"/>
      <c r="HU22" s="255"/>
      <c r="HV22" s="27"/>
      <c r="HW22" s="32"/>
      <c r="HX22" s="27"/>
      <c r="HY22" s="115"/>
      <c r="HZ22" s="27"/>
      <c r="IA22" s="32"/>
      <c r="IB22" s="27"/>
      <c r="IC22" s="115"/>
      <c r="ID22" s="27"/>
      <c r="IE22" s="32"/>
      <c r="IF22" s="27"/>
      <c r="IG22" s="115"/>
      <c r="IH22" s="27"/>
      <c r="II22" s="32"/>
      <c r="IJ22" s="27"/>
      <c r="IK22" s="115"/>
      <c r="IL22" s="27"/>
      <c r="IM22" s="32"/>
      <c r="IN22" s="27"/>
      <c r="IO22" s="115"/>
      <c r="IP22" s="254"/>
      <c r="IQ22" s="240"/>
      <c r="IR22" s="240"/>
      <c r="IS22" s="255"/>
      <c r="IT22" s="254"/>
      <c r="IU22" s="240"/>
      <c r="IV22" s="240"/>
      <c r="IW22" s="255"/>
      <c r="IX22" s="27"/>
      <c r="IY22" s="32"/>
      <c r="IZ22" s="27"/>
      <c r="JA22" s="115"/>
      <c r="JB22" s="27"/>
      <c r="JC22" s="32"/>
      <c r="JD22" s="27"/>
      <c r="JE22" s="115"/>
      <c r="JF22" s="27"/>
      <c r="JG22" s="32"/>
      <c r="JH22" s="27"/>
      <c r="JI22" s="115"/>
      <c r="JJ22" s="27"/>
      <c r="JK22" s="32"/>
      <c r="JL22" s="27"/>
      <c r="JM22" s="115"/>
      <c r="JN22" s="27"/>
      <c r="JO22" s="32"/>
      <c r="JP22" s="27"/>
      <c r="JQ22" s="115"/>
      <c r="JR22" s="27"/>
      <c r="JS22" s="32"/>
      <c r="JT22" s="27"/>
      <c r="JU22" s="115"/>
      <c r="JV22" s="254"/>
      <c r="JW22" s="240"/>
      <c r="JX22" s="240"/>
      <c r="JY22" s="255"/>
      <c r="JZ22" s="27"/>
      <c r="KA22" s="32"/>
      <c r="KB22" s="27"/>
      <c r="KC22" s="115"/>
      <c r="KD22" s="27"/>
      <c r="KE22" s="32"/>
      <c r="KF22" s="27"/>
      <c r="KG22" s="115"/>
      <c r="KH22" s="27"/>
      <c r="KI22" s="32"/>
      <c r="KJ22" s="27"/>
      <c r="KK22" s="115"/>
      <c r="KL22" s="27"/>
      <c r="KM22" s="32"/>
      <c r="KN22" s="27"/>
      <c r="KO22" s="115"/>
      <c r="KP22" s="27"/>
      <c r="KQ22" s="32"/>
      <c r="KR22" s="27"/>
      <c r="KS22" s="115"/>
      <c r="KU22" s="27"/>
      <c r="KV22" s="32"/>
      <c r="KW22" s="27"/>
      <c r="KX22" s="115"/>
      <c r="KY22" s="260"/>
      <c r="KZ22" s="260"/>
      <c r="LA22" s="260"/>
      <c r="LB22" s="260"/>
      <c r="LC22" s="260"/>
      <c r="LD22" s="260"/>
      <c r="LE22" s="260"/>
      <c r="LF22" s="260"/>
      <c r="LG22" s="27"/>
      <c r="LH22" s="32"/>
      <c r="LI22" s="27"/>
      <c r="LJ22" s="115"/>
      <c r="LK22" s="27"/>
      <c r="LL22" s="32"/>
      <c r="LM22" s="27"/>
      <c r="LN22" s="115"/>
      <c r="LO22" s="260"/>
      <c r="LP22" s="260"/>
      <c r="LQ22" s="260"/>
      <c r="LR22" s="260"/>
      <c r="LS22" s="260"/>
      <c r="LT22" s="260"/>
      <c r="LU22" s="260"/>
      <c r="LV22" s="260"/>
      <c r="LW22" s="27"/>
      <c r="LX22" s="32"/>
      <c r="LY22" s="27"/>
      <c r="LZ22" s="115"/>
      <c r="MA22" s="260"/>
      <c r="MB22" s="260"/>
      <c r="MC22" s="260"/>
      <c r="MD22" s="260"/>
      <c r="ME22" s="27"/>
      <c r="MF22" s="32"/>
      <c r="MG22" s="27"/>
      <c r="MH22" s="115"/>
      <c r="MI22" s="27"/>
      <c r="MJ22" s="32"/>
      <c r="MK22" s="27"/>
      <c r="ML22" s="115"/>
      <c r="MM22" s="27"/>
      <c r="MN22" s="32"/>
      <c r="MO22" s="27"/>
      <c r="MP22" s="115"/>
      <c r="MQ22" s="27"/>
      <c r="MR22" s="32"/>
      <c r="MS22" s="27"/>
      <c r="MT22" s="115"/>
      <c r="MU22" s="27"/>
      <c r="MV22" s="32"/>
      <c r="MW22" s="27"/>
      <c r="MX22" s="115"/>
      <c r="MY22" s="260"/>
      <c r="MZ22" s="260"/>
      <c r="NA22" s="260"/>
      <c r="NB22" s="260"/>
      <c r="NC22" s="260"/>
      <c r="ND22" s="260"/>
      <c r="NE22" s="260"/>
      <c r="NF22" s="260"/>
      <c r="NG22" s="27"/>
      <c r="NH22" s="32"/>
      <c r="NI22" s="27"/>
      <c r="NJ22" s="115"/>
      <c r="NK22" s="27"/>
      <c r="NL22" s="32"/>
      <c r="NM22" s="27"/>
      <c r="NN22" s="115"/>
      <c r="NO22" s="27"/>
      <c r="NP22" s="32"/>
      <c r="NQ22" s="114">
        <f t="shared" si="92"/>
        <v>0</v>
      </c>
      <c r="NR22" s="115"/>
      <c r="NS22" s="27"/>
      <c r="NT22" s="32"/>
      <c r="NU22" s="114">
        <f t="shared" si="93"/>
        <v>0</v>
      </c>
      <c r="NV22" s="115"/>
      <c r="NW22" s="260"/>
      <c r="NX22" s="260"/>
      <c r="NY22" s="260"/>
      <c r="NZ22" s="260"/>
      <c r="OA22" s="27"/>
      <c r="OB22" s="32"/>
      <c r="OC22" s="114">
        <f t="shared" si="94"/>
        <v>0</v>
      </c>
      <c r="OD22" s="115"/>
      <c r="OE22" s="260"/>
      <c r="OF22" s="260"/>
      <c r="OG22" s="260"/>
      <c r="OH22" s="260"/>
      <c r="OI22" s="27"/>
      <c r="OJ22" s="32"/>
      <c r="OK22" s="27"/>
      <c r="OL22" s="115"/>
      <c r="OM22" s="27"/>
      <c r="ON22" s="32"/>
      <c r="OO22" s="27"/>
      <c r="OP22" s="115"/>
      <c r="OQ22" s="27"/>
      <c r="OR22" s="32"/>
      <c r="OS22" s="27"/>
      <c r="OT22" s="115"/>
      <c r="OU22" s="27"/>
      <c r="OV22" s="32"/>
      <c r="OW22" s="27"/>
      <c r="OX22" s="115"/>
      <c r="OY22" s="27"/>
      <c r="OZ22" s="32"/>
      <c r="PA22" s="27"/>
      <c r="PB22" s="115"/>
      <c r="PC22" s="27"/>
      <c r="PD22" s="32"/>
      <c r="PE22" s="27"/>
      <c r="PF22" s="115"/>
      <c r="PG22" s="27"/>
      <c r="PH22" s="32"/>
      <c r="PI22" s="27"/>
      <c r="PJ22" s="115"/>
      <c r="PK22" s="27"/>
      <c r="PL22" s="32"/>
      <c r="PM22" s="27"/>
      <c r="PN22" s="115"/>
      <c r="PP22" s="27"/>
      <c r="PQ22" s="32"/>
      <c r="PR22" s="27"/>
      <c r="PS22" s="115"/>
      <c r="PT22" s="27"/>
      <c r="PU22" s="32"/>
      <c r="PV22" s="27"/>
      <c r="PW22" s="115"/>
      <c r="PX22" s="27"/>
      <c r="PY22" s="32"/>
      <c r="PZ22" s="27"/>
      <c r="QA22" s="115"/>
      <c r="QB22" s="27"/>
      <c r="QC22" s="32"/>
      <c r="QD22" s="27"/>
      <c r="QE22" s="115"/>
      <c r="QF22" s="27"/>
      <c r="QG22" s="32"/>
      <c r="QH22" s="27"/>
      <c r="QI22" s="115"/>
      <c r="QJ22" s="290"/>
      <c r="QK22" s="290"/>
      <c r="QL22" s="290"/>
      <c r="QM22" s="290"/>
      <c r="QN22" s="27"/>
      <c r="QO22" s="32"/>
      <c r="QP22" s="27"/>
      <c r="QQ22" s="115"/>
      <c r="QR22" s="27"/>
      <c r="QS22" s="32"/>
      <c r="QT22" s="27"/>
      <c r="QU22" s="115"/>
      <c r="QV22" s="27"/>
      <c r="QW22" s="32"/>
      <c r="QX22" s="27"/>
      <c r="QY22" s="115"/>
      <c r="QZ22" s="27"/>
      <c r="RA22" s="32"/>
      <c r="RB22" s="27"/>
      <c r="RC22" s="115"/>
      <c r="RD22" s="27"/>
      <c r="RE22" s="32"/>
      <c r="RF22" s="27"/>
      <c r="RG22" s="115"/>
      <c r="RH22" s="27"/>
      <c r="RI22" s="32"/>
      <c r="RJ22" s="27"/>
      <c r="RK22" s="115"/>
      <c r="RL22" s="240"/>
      <c r="RM22" s="240"/>
      <c r="RN22" s="240"/>
      <c r="RO22" s="240"/>
      <c r="RP22" s="27"/>
      <c r="RQ22" s="32"/>
      <c r="RR22" s="27"/>
      <c r="RS22" s="115"/>
      <c r="RT22" s="27"/>
      <c r="RU22" s="32"/>
      <c r="RV22" s="27"/>
      <c r="RW22" s="115"/>
      <c r="RX22" s="27"/>
      <c r="RY22" s="32"/>
      <c r="RZ22" s="27"/>
      <c r="SA22" s="115"/>
    </row>
    <row r="23" spans="1:495" x14ac:dyDescent="0.3">
      <c r="A23" s="291">
        <v>18</v>
      </c>
      <c r="B23" s="25" t="s">
        <v>36</v>
      </c>
      <c r="C23" s="26" t="s">
        <v>47</v>
      </c>
      <c r="D23" s="283"/>
      <c r="E23" s="27">
        <v>38441</v>
      </c>
      <c r="F23" s="192"/>
      <c r="G23" s="36">
        <v>39811</v>
      </c>
      <c r="H23" s="46">
        <v>40411</v>
      </c>
      <c r="I23" s="47">
        <f t="shared" si="0"/>
        <v>600</v>
      </c>
      <c r="J23" s="46">
        <v>40575</v>
      </c>
      <c r="K23" s="47">
        <f t="shared" si="95"/>
        <v>164</v>
      </c>
      <c r="L23" s="46">
        <v>40402</v>
      </c>
      <c r="M23" s="47">
        <f>L23-J23</f>
        <v>-173</v>
      </c>
      <c r="N23" s="46">
        <f>38876+2056</f>
        <v>40932</v>
      </c>
      <c r="O23" s="47">
        <f>N23-L23</f>
        <v>530</v>
      </c>
      <c r="P23" s="46">
        <f>38944+2056</f>
        <v>41000</v>
      </c>
      <c r="Q23" s="47">
        <f>P23-N23</f>
        <v>68</v>
      </c>
      <c r="R23" s="232"/>
      <c r="S23" s="233"/>
      <c r="T23" s="46">
        <f>39015+1544</f>
        <v>40559</v>
      </c>
      <c r="U23" s="36">
        <f>T23-P23</f>
        <v>-441</v>
      </c>
      <c r="V23" s="46">
        <f>39061+2</f>
        <v>39063</v>
      </c>
      <c r="W23" s="47">
        <f>V23-T23</f>
        <v>-1496</v>
      </c>
      <c r="X23" s="39">
        <f>39241+1054</f>
        <v>40295</v>
      </c>
      <c r="Y23" s="32">
        <f>X23-V23</f>
        <v>1232</v>
      </c>
      <c r="Z23" s="32">
        <f>39328+1869</f>
        <v>41197</v>
      </c>
      <c r="AA23" s="36">
        <f>Z23-X23</f>
        <v>902</v>
      </c>
      <c r="AB23" s="46">
        <f>39475+1054</f>
        <v>40529</v>
      </c>
      <c r="AC23" s="47">
        <f>AB23-Z23</f>
        <v>-668</v>
      </c>
      <c r="AD23" s="39">
        <f>39628+1869</f>
        <v>41497</v>
      </c>
      <c r="AE23" s="32">
        <f>AD23-AB23</f>
        <v>968</v>
      </c>
      <c r="AF23" s="232"/>
      <c r="AG23" s="233"/>
      <c r="AH23" s="27"/>
      <c r="AI23" s="32"/>
      <c r="AJ23" s="27"/>
      <c r="AK23" s="32"/>
      <c r="AL23" s="232"/>
      <c r="AM23" s="233"/>
      <c r="AN23" s="232"/>
      <c r="AO23" s="233"/>
      <c r="AP23" s="27"/>
      <c r="AQ23" s="32"/>
      <c r="AR23" s="27"/>
      <c r="AS23" s="32"/>
      <c r="AT23" s="285"/>
      <c r="AU23" s="285"/>
      <c r="AV23" s="27"/>
      <c r="AW23" s="32"/>
      <c r="AX23" s="27"/>
      <c r="AY23" s="32"/>
      <c r="AZ23" s="27"/>
      <c r="BA23" s="32"/>
      <c r="BB23" s="27"/>
      <c r="BC23" s="32"/>
      <c r="BD23" s="27"/>
      <c r="BE23" s="32"/>
      <c r="BF23" s="27"/>
      <c r="BG23" s="32"/>
      <c r="BH23" s="269"/>
      <c r="BI23" s="269"/>
      <c r="BJ23" s="18"/>
      <c r="BK23" s="113"/>
      <c r="BL23" s="114"/>
      <c r="BM23" s="114"/>
      <c r="BN23" s="115"/>
      <c r="BO23" s="113"/>
      <c r="BP23" s="114"/>
      <c r="BQ23" s="114"/>
      <c r="BR23" s="115"/>
      <c r="BS23" s="113"/>
      <c r="BT23" s="114"/>
      <c r="BU23" s="114"/>
      <c r="BV23" s="115"/>
      <c r="BW23" s="113">
        <v>43285</v>
      </c>
      <c r="BX23" s="114">
        <v>2737</v>
      </c>
      <c r="BY23" s="114">
        <f>BW23+BX23</f>
        <v>46022</v>
      </c>
      <c r="BZ23" s="115"/>
      <c r="CA23" s="113">
        <v>43405</v>
      </c>
      <c r="CB23" s="114">
        <v>2736</v>
      </c>
      <c r="CC23" s="114">
        <f t="shared" ref="CC23:CC26" si="363">CA23+CB23</f>
        <v>46141</v>
      </c>
      <c r="CD23" s="115">
        <f>CC23-BY23</f>
        <v>119</v>
      </c>
      <c r="CE23" s="113">
        <v>43560</v>
      </c>
      <c r="CF23" s="114">
        <v>2736</v>
      </c>
      <c r="CG23" s="114">
        <f t="shared" ref="CG23:CG25" si="364">CE23+CF23</f>
        <v>46296</v>
      </c>
      <c r="CH23" s="115">
        <f>CG23-CC23</f>
        <v>155</v>
      </c>
      <c r="CI23" s="254"/>
      <c r="CJ23" s="240"/>
      <c r="CK23" s="240"/>
      <c r="CL23" s="255"/>
      <c r="CM23" s="113">
        <v>43602</v>
      </c>
      <c r="CN23" s="114">
        <v>2736</v>
      </c>
      <c r="CO23" s="114">
        <f t="shared" ref="CO23:CO25" si="365">CM23+CN23</f>
        <v>46338</v>
      </c>
      <c r="CP23" s="115">
        <f>CO23-CG23</f>
        <v>42</v>
      </c>
      <c r="CQ23" s="113">
        <v>43731</v>
      </c>
      <c r="CR23" s="114">
        <v>2736</v>
      </c>
      <c r="CS23" s="114">
        <f t="shared" ref="CS23:CS25" si="366">CQ23+CR23</f>
        <v>46467</v>
      </c>
      <c r="CT23" s="115">
        <f>CS23-CO23</f>
        <v>129</v>
      </c>
      <c r="CU23" s="113">
        <v>43853</v>
      </c>
      <c r="CV23" s="114">
        <v>2736</v>
      </c>
      <c r="CW23" s="114">
        <f t="shared" ref="CW23:CW25" si="367">CU23+CV23</f>
        <v>46589</v>
      </c>
      <c r="CX23" s="115">
        <f>CW23-CS23</f>
        <v>122</v>
      </c>
      <c r="CY23" s="113">
        <v>44090</v>
      </c>
      <c r="CZ23" s="114">
        <v>2736</v>
      </c>
      <c r="DA23" s="114">
        <f t="shared" ref="DA23:DA25" si="368">CY23+CZ23</f>
        <v>46826</v>
      </c>
      <c r="DB23" s="115">
        <f t="shared" ref="DB23:DB26" si="369">DA23-CW23</f>
        <v>237</v>
      </c>
      <c r="DC23" s="113">
        <v>44090</v>
      </c>
      <c r="DD23" s="114">
        <v>2736</v>
      </c>
      <c r="DE23" s="114">
        <f t="shared" ref="DE23:DE26" si="370">DC23+DD23</f>
        <v>46826</v>
      </c>
      <c r="DF23" s="115">
        <f t="shared" ref="DF23:DF26" si="371">DE23-DA23</f>
        <v>0</v>
      </c>
      <c r="DG23" s="254"/>
      <c r="DH23" s="240"/>
      <c r="DI23" s="240"/>
      <c r="DJ23" s="240"/>
      <c r="DK23" s="254"/>
      <c r="DL23" s="240"/>
      <c r="DM23" s="240"/>
      <c r="DN23" s="240"/>
      <c r="DO23" s="113">
        <v>44619</v>
      </c>
      <c r="DP23" s="114">
        <v>2736</v>
      </c>
      <c r="DQ23" s="114">
        <f t="shared" ref="DQ23" si="372">DO23+DP23</f>
        <v>47355</v>
      </c>
      <c r="DR23" s="115"/>
      <c r="DS23" s="113">
        <v>44730</v>
      </c>
      <c r="DT23" s="114">
        <v>2736</v>
      </c>
      <c r="DU23" s="114">
        <f t="shared" ref="DU23:DU26" si="373">DS23+DT23</f>
        <v>47466</v>
      </c>
      <c r="DV23" s="115">
        <f t="shared" ref="DV23:DV26" si="374">DU23-DQ23</f>
        <v>111</v>
      </c>
      <c r="DW23" s="113">
        <v>44809</v>
      </c>
      <c r="DX23" s="114">
        <v>2736</v>
      </c>
      <c r="DY23" s="114">
        <f t="shared" ref="DY23:DY25" si="375">DW23+DX23</f>
        <v>47545</v>
      </c>
      <c r="DZ23" s="115">
        <f t="shared" ref="DZ23:DZ25" si="376">DY23-DU23</f>
        <v>79</v>
      </c>
      <c r="EA23" s="113">
        <v>44846</v>
      </c>
      <c r="EB23" s="114">
        <v>2736</v>
      </c>
      <c r="EC23" s="114">
        <f t="shared" ref="EC23:EC25" si="377">EA23+EB23</f>
        <v>47582</v>
      </c>
      <c r="ED23" s="115">
        <f t="shared" ref="ED23:ED25" si="378">EC23-DY23</f>
        <v>37</v>
      </c>
      <c r="EE23" s="113">
        <v>44970</v>
      </c>
      <c r="EF23" s="114">
        <v>2736</v>
      </c>
      <c r="EG23" s="114">
        <f t="shared" ref="EG23:EG26" si="379">EE23+EF23</f>
        <v>47706</v>
      </c>
      <c r="EH23" s="115">
        <f t="shared" ref="EH23:EH26" si="380">EG23-EC23</f>
        <v>124</v>
      </c>
      <c r="EI23" s="113">
        <v>45096</v>
      </c>
      <c r="EJ23" s="114">
        <v>2736</v>
      </c>
      <c r="EK23" s="114">
        <f t="shared" ref="EK23:EK26" si="381">EI23+EJ23</f>
        <v>47832</v>
      </c>
      <c r="EL23" s="115">
        <f t="shared" ref="EL23:EL26" si="382">EK23-EG23</f>
        <v>126</v>
      </c>
      <c r="EM23" s="271"/>
      <c r="EN23" s="271"/>
      <c r="EO23" s="113">
        <v>45268</v>
      </c>
      <c r="EP23" s="114">
        <v>2736</v>
      </c>
      <c r="EQ23" s="114">
        <f t="shared" ref="EQ23:EQ25" si="383">EO23+EP23</f>
        <v>48004</v>
      </c>
      <c r="ER23" s="115">
        <f>EQ23-EK23</f>
        <v>172</v>
      </c>
      <c r="ES23" s="113">
        <v>45268</v>
      </c>
      <c r="ET23" s="114">
        <v>2736</v>
      </c>
      <c r="EU23" s="114">
        <f t="shared" ref="EU23:EU26" si="384">ES23+ET23</f>
        <v>48004</v>
      </c>
      <c r="EV23" s="115">
        <f>EU23-EO23</f>
        <v>2736</v>
      </c>
      <c r="EW23" s="260"/>
      <c r="EX23" s="260"/>
      <c r="EY23" s="260"/>
      <c r="EZ23" s="260"/>
      <c r="FA23" s="113">
        <v>45450</v>
      </c>
      <c r="FB23" s="114">
        <v>1699</v>
      </c>
      <c r="FC23" s="114">
        <f t="shared" ref="FC23" si="385">FA23+FB23</f>
        <v>47149</v>
      </c>
      <c r="FD23" s="115"/>
      <c r="FE23" s="113">
        <v>45532</v>
      </c>
      <c r="FF23" s="114">
        <v>1699</v>
      </c>
      <c r="FG23" s="114">
        <f t="shared" ref="FG23:FG24" si="386">FE23+FF23</f>
        <v>47231</v>
      </c>
      <c r="FH23" s="115">
        <f t="shared" ref="FH23:FH26" si="387">FG23-FC23</f>
        <v>82</v>
      </c>
      <c r="FI23" s="113">
        <v>45615</v>
      </c>
      <c r="FJ23" s="114">
        <v>1699</v>
      </c>
      <c r="FK23" s="114">
        <f t="shared" ref="FK23:FK26" si="388">FI23+FJ23</f>
        <v>47314</v>
      </c>
      <c r="FL23" s="115">
        <f t="shared" ref="FL23:FL26" si="389">FK23-FG23</f>
        <v>83</v>
      </c>
      <c r="FM23" s="260"/>
      <c r="FN23" s="260"/>
      <c r="FO23" s="260"/>
      <c r="FP23" s="260"/>
      <c r="FQ23" s="27"/>
      <c r="FR23" s="32"/>
      <c r="FS23" s="27"/>
      <c r="FT23" s="32"/>
      <c r="FU23" s="113">
        <v>45779</v>
      </c>
      <c r="FV23" s="114">
        <v>1699</v>
      </c>
      <c r="FW23" s="114">
        <f t="shared" ref="FW23:FW25" si="390">FU23+FV23</f>
        <v>47478</v>
      </c>
      <c r="FX23" s="32"/>
      <c r="FZ23" s="113"/>
      <c r="GA23" s="114"/>
      <c r="GB23" s="114"/>
      <c r="GC23" s="115"/>
      <c r="GD23" s="260"/>
      <c r="GE23" s="260"/>
      <c r="GF23" s="260"/>
      <c r="GG23" s="260"/>
      <c r="GH23" s="113">
        <v>45979</v>
      </c>
      <c r="GI23" s="114">
        <v>1699</v>
      </c>
      <c r="GJ23" s="114">
        <f t="shared" ref="GJ23:GJ26" si="391">GH23+GI23</f>
        <v>47678</v>
      </c>
      <c r="GK23" s="115"/>
      <c r="GL23" s="113">
        <v>46032</v>
      </c>
      <c r="GM23" s="114">
        <v>1699</v>
      </c>
      <c r="GN23" s="114">
        <f t="shared" ref="GN23:GN26" si="392">GL23+GM23</f>
        <v>47731</v>
      </c>
      <c r="GO23" s="115">
        <f t="shared" ref="GO23" si="393">GN23-GJ23</f>
        <v>53</v>
      </c>
      <c r="GP23" s="260"/>
      <c r="GQ23" s="260"/>
      <c r="GR23" s="260"/>
      <c r="GS23" s="260"/>
      <c r="GT23" s="113">
        <v>46073</v>
      </c>
      <c r="GU23" s="114">
        <v>1699</v>
      </c>
      <c r="GV23" s="114">
        <f t="shared" ref="GV23:GV26" si="394">GT23+GU23</f>
        <v>47772</v>
      </c>
      <c r="GW23" s="115"/>
      <c r="GX23" s="113">
        <v>46107</v>
      </c>
      <c r="GY23" s="114">
        <v>1699</v>
      </c>
      <c r="GZ23" s="114">
        <f t="shared" ref="GZ23:GZ26" si="395">GX23+GY23</f>
        <v>47806</v>
      </c>
      <c r="HA23" s="115">
        <f t="shared" ref="HA23" si="396">GZ23-GV23</f>
        <v>34</v>
      </c>
      <c r="HB23" s="113">
        <v>46149</v>
      </c>
      <c r="HC23" s="114">
        <v>1699</v>
      </c>
      <c r="HD23" s="114">
        <f t="shared" ref="HD23:HD26" si="397">HB23+HC23</f>
        <v>47848</v>
      </c>
      <c r="HE23" s="115">
        <f t="shared" ref="HE23" si="398">HD23-GZ23</f>
        <v>42</v>
      </c>
      <c r="HF23" s="113">
        <v>46221</v>
      </c>
      <c r="HG23" s="114">
        <v>1699</v>
      </c>
      <c r="HH23" s="114">
        <f t="shared" ref="HH23:HH26" si="399">HF23+HG23</f>
        <v>47920</v>
      </c>
      <c r="HI23" s="115">
        <f t="shared" ref="HI23" si="400">HH23-HD23</f>
        <v>72</v>
      </c>
      <c r="HJ23" s="113">
        <v>46320</v>
      </c>
      <c r="HK23" s="114">
        <v>1699</v>
      </c>
      <c r="HL23" s="114">
        <f t="shared" ref="HL23:HL26" si="401">HJ23+HK23</f>
        <v>48019</v>
      </c>
      <c r="HM23" s="115">
        <f t="shared" ref="HM23" si="402">HL23-HH23</f>
        <v>99</v>
      </c>
      <c r="HN23" s="113">
        <v>46443</v>
      </c>
      <c r="HO23" s="114">
        <v>1699</v>
      </c>
      <c r="HP23" s="114">
        <f t="shared" ref="HP23:HP26" si="403">HN23+HO23</f>
        <v>48142</v>
      </c>
      <c r="HQ23" s="115">
        <f t="shared" ref="HQ23" si="404">HP23-HL23</f>
        <v>123</v>
      </c>
      <c r="HR23" s="254"/>
      <c r="HS23" s="240"/>
      <c r="HT23" s="240"/>
      <c r="HU23" s="255"/>
      <c r="HV23" s="113">
        <v>46656</v>
      </c>
      <c r="HW23" s="114">
        <v>1699</v>
      </c>
      <c r="HX23" s="114">
        <f t="shared" ref="HX23:HX26" si="405">HV23+HW23</f>
        <v>48355</v>
      </c>
      <c r="HY23" s="115"/>
      <c r="HZ23" s="113">
        <v>46911</v>
      </c>
      <c r="IA23" s="114">
        <v>1699</v>
      </c>
      <c r="IB23" s="114">
        <f t="shared" ref="IB23:IB26" si="406">HZ23+IA23</f>
        <v>48610</v>
      </c>
      <c r="IC23" s="115">
        <f t="shared" ref="IC23" si="407">IB23-HX23</f>
        <v>255</v>
      </c>
      <c r="ID23" s="113">
        <v>47009</v>
      </c>
      <c r="IE23" s="114">
        <v>1699</v>
      </c>
      <c r="IF23" s="114">
        <f t="shared" ref="IF23:IF26" si="408">ID23+IE23</f>
        <v>48708</v>
      </c>
      <c r="IG23" s="115">
        <f>IF23-IB23</f>
        <v>98</v>
      </c>
      <c r="IH23" s="113">
        <v>48168</v>
      </c>
      <c r="II23" s="114">
        <v>1699</v>
      </c>
      <c r="IJ23" s="114">
        <f t="shared" ref="IJ23:IJ26" si="409">IH23+II23</f>
        <v>49867</v>
      </c>
      <c r="IK23" s="115">
        <f>IJ23-IF23</f>
        <v>1159</v>
      </c>
      <c r="IL23" s="113">
        <v>48273</v>
      </c>
      <c r="IM23" s="114">
        <v>1699</v>
      </c>
      <c r="IN23" s="114">
        <f t="shared" ref="IN23:IN26" si="410">IL23+IM23</f>
        <v>49972</v>
      </c>
      <c r="IO23" s="115">
        <f>IN23-IJ23</f>
        <v>105</v>
      </c>
      <c r="IP23" s="254"/>
      <c r="IQ23" s="240"/>
      <c r="IR23" s="240"/>
      <c r="IS23" s="255"/>
      <c r="IT23" s="254"/>
      <c r="IU23" s="240"/>
      <c r="IV23" s="240"/>
      <c r="IW23" s="255"/>
      <c r="IX23" s="113">
        <v>48575</v>
      </c>
      <c r="IY23" s="114">
        <v>1699</v>
      </c>
      <c r="IZ23" s="114">
        <f t="shared" ref="IZ23:IZ26" si="411">IX23+IY23</f>
        <v>50274</v>
      </c>
      <c r="JA23" s="115"/>
      <c r="JB23" s="113">
        <v>48707</v>
      </c>
      <c r="JC23" s="114">
        <v>1699</v>
      </c>
      <c r="JD23" s="114">
        <f t="shared" ref="JD23:JD26" si="412">JB23+JC23</f>
        <v>50406</v>
      </c>
      <c r="JE23" s="115">
        <f>JD23-IZ23</f>
        <v>132</v>
      </c>
      <c r="JF23" s="113">
        <v>48707</v>
      </c>
      <c r="JG23" s="114">
        <v>1699</v>
      </c>
      <c r="JH23" s="114">
        <f t="shared" ref="JH23:JH26" si="413">JF23+JG23</f>
        <v>50406</v>
      </c>
      <c r="JI23" s="115">
        <f>JH23-JD23</f>
        <v>0</v>
      </c>
      <c r="JJ23" s="113">
        <v>48935</v>
      </c>
      <c r="JK23" s="114">
        <v>1699</v>
      </c>
      <c r="JL23" s="114">
        <f t="shared" ref="JL23:JL26" si="414">JJ23+JK23</f>
        <v>50634</v>
      </c>
      <c r="JM23" s="115">
        <f>JL23-JH23</f>
        <v>228</v>
      </c>
      <c r="JN23" s="113">
        <v>48980</v>
      </c>
      <c r="JO23" s="114">
        <v>1699</v>
      </c>
      <c r="JP23" s="114">
        <f t="shared" ref="JP23:JP26" si="415">JN23+JO23</f>
        <v>50679</v>
      </c>
      <c r="JQ23" s="115">
        <f>JP23-JL23</f>
        <v>45</v>
      </c>
      <c r="JR23" s="113"/>
      <c r="JS23" s="114"/>
      <c r="JT23" s="114"/>
      <c r="JU23" s="115"/>
      <c r="JV23" s="254"/>
      <c r="JW23" s="240"/>
      <c r="JX23" s="240"/>
      <c r="JY23" s="255"/>
      <c r="JZ23" s="113">
        <v>50019</v>
      </c>
      <c r="KA23" s="114">
        <v>18411</v>
      </c>
      <c r="KB23" s="114">
        <f t="shared" ref="KB23:KB26" si="416">JZ23+KA23</f>
        <v>68430</v>
      </c>
      <c r="KC23" s="115">
        <f>KB23-JX23</f>
        <v>68430</v>
      </c>
      <c r="KD23" s="113">
        <v>50019</v>
      </c>
      <c r="KE23" s="114">
        <v>18411</v>
      </c>
      <c r="KF23" s="114">
        <f t="shared" ref="KF23:KF26" si="417">KD23+KE23</f>
        <v>68430</v>
      </c>
      <c r="KG23" s="115">
        <f>KF23-KB23</f>
        <v>0</v>
      </c>
      <c r="KH23" s="113">
        <v>50019</v>
      </c>
      <c r="KI23" s="114">
        <v>18411</v>
      </c>
      <c r="KJ23" s="114">
        <f t="shared" ref="KJ23:KJ26" si="418">KH23+KI23</f>
        <v>68430</v>
      </c>
      <c r="KK23" s="115">
        <f>KJ23-KF23</f>
        <v>0</v>
      </c>
      <c r="KL23" s="113">
        <v>50019</v>
      </c>
      <c r="KM23" s="114">
        <v>18411</v>
      </c>
      <c r="KN23" s="114">
        <f t="shared" ref="KN23:KN26" si="419">KL23+KM23</f>
        <v>68430</v>
      </c>
      <c r="KO23" s="115">
        <f>KN23-KJ23</f>
        <v>0</v>
      </c>
      <c r="KP23" s="113">
        <v>50019</v>
      </c>
      <c r="KQ23" s="114">
        <v>18411</v>
      </c>
      <c r="KR23" s="114">
        <f t="shared" ref="KR23:KR26" si="420">KP23+KQ23</f>
        <v>68430</v>
      </c>
      <c r="KS23" s="115">
        <f>KR23-KN23</f>
        <v>0</v>
      </c>
      <c r="KU23" s="113">
        <v>50019</v>
      </c>
      <c r="KV23" s="114">
        <v>18411</v>
      </c>
      <c r="KW23" s="114">
        <f t="shared" ref="KW23:KW26" si="421">KU23+KV23</f>
        <v>68430</v>
      </c>
      <c r="KX23" s="115">
        <f>KW23-KS23</f>
        <v>68430</v>
      </c>
      <c r="KY23" s="260"/>
      <c r="KZ23" s="260"/>
      <c r="LA23" s="260"/>
      <c r="LB23" s="260"/>
      <c r="LC23" s="260"/>
      <c r="LD23" s="260"/>
      <c r="LE23" s="260"/>
      <c r="LF23" s="260"/>
      <c r="LG23" s="113">
        <v>50019</v>
      </c>
      <c r="LH23" s="114">
        <v>18411</v>
      </c>
      <c r="LI23" s="114">
        <f t="shared" ref="LI23:LI24" si="422">LG23+LH23</f>
        <v>68430</v>
      </c>
      <c r="LJ23" s="115"/>
      <c r="LK23" s="113"/>
      <c r="LL23" s="114"/>
      <c r="LM23" s="114"/>
      <c r="LN23" s="115"/>
      <c r="LO23" s="260"/>
      <c r="LP23" s="260"/>
      <c r="LQ23" s="260"/>
      <c r="LR23" s="260"/>
      <c r="LS23" s="260"/>
      <c r="LT23" s="260"/>
      <c r="LU23" s="260"/>
      <c r="LV23" s="260"/>
      <c r="LW23" s="113">
        <v>50019</v>
      </c>
      <c r="LX23" s="114">
        <v>18411</v>
      </c>
      <c r="LY23" s="114">
        <f t="shared" ref="LY23:LY25" si="423">LW23+LX23</f>
        <v>68430</v>
      </c>
      <c r="LZ23" s="115"/>
      <c r="MA23" s="260"/>
      <c r="MB23" s="260"/>
      <c r="MC23" s="260"/>
      <c r="MD23" s="260"/>
      <c r="ME23" s="113">
        <v>50019</v>
      </c>
      <c r="MF23" s="114">
        <v>1544</v>
      </c>
      <c r="MG23" s="114">
        <f t="shared" ref="MG23:MG25" si="424">ME23+MF23</f>
        <v>51563</v>
      </c>
      <c r="MH23" s="115"/>
      <c r="MI23" s="113">
        <v>50019</v>
      </c>
      <c r="MJ23" s="114">
        <v>1544</v>
      </c>
      <c r="MK23" s="114">
        <f t="shared" ref="MK23:MK25" si="425">MI23+MJ23</f>
        <v>51563</v>
      </c>
      <c r="ML23" s="115">
        <f>MK23-MG23</f>
        <v>0</v>
      </c>
      <c r="MM23" s="113">
        <v>50019</v>
      </c>
      <c r="MN23" s="114">
        <v>1544</v>
      </c>
      <c r="MO23" s="114">
        <f t="shared" ref="MO23:MO25" si="426">MM23+MN23</f>
        <v>51563</v>
      </c>
      <c r="MP23" s="115">
        <f>MO23-MK23</f>
        <v>0</v>
      </c>
      <c r="MQ23" s="113">
        <v>50019</v>
      </c>
      <c r="MR23" s="114">
        <v>1544</v>
      </c>
      <c r="MS23" s="114">
        <f t="shared" ref="MS23:MS25" si="427">MQ23+MR23</f>
        <v>51563</v>
      </c>
      <c r="MT23" s="115">
        <f>MS23-MO23</f>
        <v>0</v>
      </c>
      <c r="MU23" s="113">
        <v>50019</v>
      </c>
      <c r="MV23" s="114">
        <v>1544</v>
      </c>
      <c r="MW23" s="114">
        <f t="shared" ref="MW23:MW25" si="428">MU23+MV23</f>
        <v>51563</v>
      </c>
      <c r="MX23" s="115">
        <f>MW23-MS23</f>
        <v>0</v>
      </c>
      <c r="MY23" s="260"/>
      <c r="MZ23" s="260"/>
      <c r="NA23" s="260"/>
      <c r="NB23" s="260"/>
      <c r="NC23" s="260"/>
      <c r="ND23" s="260"/>
      <c r="NE23" s="260"/>
      <c r="NF23" s="260"/>
      <c r="NG23" s="113">
        <v>50019</v>
      </c>
      <c r="NH23" s="114">
        <v>1699</v>
      </c>
      <c r="NI23" s="114"/>
      <c r="NJ23" s="115"/>
      <c r="NK23" s="113">
        <v>50019</v>
      </c>
      <c r="NL23" s="114">
        <v>1699</v>
      </c>
      <c r="NM23" s="114"/>
      <c r="NN23" s="115"/>
      <c r="NO23" s="113">
        <v>50019</v>
      </c>
      <c r="NP23" s="114">
        <v>1699</v>
      </c>
      <c r="NQ23" s="114">
        <f t="shared" si="92"/>
        <v>51718</v>
      </c>
      <c r="NR23" s="115"/>
      <c r="NS23" s="113">
        <v>50019</v>
      </c>
      <c r="NT23" s="114">
        <v>1699</v>
      </c>
      <c r="NU23" s="114">
        <f t="shared" si="93"/>
        <v>51718</v>
      </c>
      <c r="NV23" s="115"/>
      <c r="NW23" s="260"/>
      <c r="NX23" s="260"/>
      <c r="NY23" s="260"/>
      <c r="NZ23" s="260"/>
      <c r="OA23" s="113">
        <v>50019</v>
      </c>
      <c r="OB23" s="114">
        <v>1699</v>
      </c>
      <c r="OC23" s="114">
        <f t="shared" si="94"/>
        <v>51718</v>
      </c>
      <c r="OD23" s="115"/>
      <c r="OE23" s="260"/>
      <c r="OF23" s="260"/>
      <c r="OG23" s="260"/>
      <c r="OH23" s="260"/>
      <c r="OI23" s="113">
        <v>50019</v>
      </c>
      <c r="OJ23" s="114">
        <v>1699</v>
      </c>
      <c r="OK23" s="114">
        <v>51718</v>
      </c>
      <c r="OL23" s="115"/>
      <c r="OM23" s="113">
        <v>50019</v>
      </c>
      <c r="ON23" s="114">
        <v>1699</v>
      </c>
      <c r="OO23" s="114">
        <v>51718</v>
      </c>
      <c r="OP23" s="115"/>
      <c r="OQ23" s="113">
        <v>50019</v>
      </c>
      <c r="OR23" s="114">
        <v>1699</v>
      </c>
      <c r="OS23" s="114">
        <v>51718</v>
      </c>
      <c r="OT23" s="115"/>
      <c r="OU23" s="113">
        <v>50906</v>
      </c>
      <c r="OV23" s="114">
        <v>5333</v>
      </c>
      <c r="OW23" s="114">
        <v>56239</v>
      </c>
      <c r="OX23" s="115"/>
      <c r="OY23" s="113">
        <v>50906</v>
      </c>
      <c r="OZ23" s="114">
        <v>5333</v>
      </c>
      <c r="PA23" s="114">
        <v>56239</v>
      </c>
      <c r="PB23" s="115"/>
      <c r="PC23" s="113">
        <v>50906</v>
      </c>
      <c r="PD23" s="114">
        <v>5333</v>
      </c>
      <c r="PE23" s="114">
        <v>56239</v>
      </c>
      <c r="PF23" s="115"/>
      <c r="PG23" s="113"/>
      <c r="PH23" s="114"/>
      <c r="PI23" s="114"/>
      <c r="PJ23" s="115"/>
      <c r="PK23" s="113">
        <v>50906</v>
      </c>
      <c r="PL23" s="114">
        <v>5333</v>
      </c>
      <c r="PM23" s="114">
        <v>56239</v>
      </c>
      <c r="PN23" s="115"/>
      <c r="PP23" s="113">
        <v>50906</v>
      </c>
      <c r="PQ23" s="114">
        <v>5333</v>
      </c>
      <c r="PR23" s="114">
        <v>56239</v>
      </c>
      <c r="PS23" s="115"/>
      <c r="PT23" s="113">
        <v>50906</v>
      </c>
      <c r="PU23" s="114">
        <v>5333</v>
      </c>
      <c r="PV23" s="114">
        <v>56239</v>
      </c>
      <c r="PW23" s="115"/>
      <c r="PX23" s="113">
        <v>50906</v>
      </c>
      <c r="PY23" s="114">
        <v>5333</v>
      </c>
      <c r="PZ23" s="114">
        <v>56239</v>
      </c>
      <c r="QA23" s="115"/>
      <c r="QB23" s="113">
        <v>50906</v>
      </c>
      <c r="QC23" s="114">
        <v>5333</v>
      </c>
      <c r="QD23" s="114">
        <v>56239</v>
      </c>
      <c r="QE23" s="115"/>
      <c r="QF23" s="113">
        <v>51055</v>
      </c>
      <c r="QG23" s="114">
        <v>5333</v>
      </c>
      <c r="QH23" s="114">
        <v>56388</v>
      </c>
      <c r="QI23" s="115"/>
      <c r="QJ23" s="290"/>
      <c r="QK23" s="290"/>
      <c r="QL23" s="290"/>
      <c r="QM23" s="290"/>
      <c r="QN23" s="113">
        <v>51372</v>
      </c>
      <c r="QO23" s="114">
        <v>5333</v>
      </c>
      <c r="QP23" s="114">
        <v>56705</v>
      </c>
      <c r="QQ23" s="115"/>
      <c r="QR23" s="113">
        <v>51372</v>
      </c>
      <c r="QS23" s="114">
        <v>5333</v>
      </c>
      <c r="QT23" s="114">
        <v>56705</v>
      </c>
      <c r="QU23" s="115"/>
      <c r="QV23" s="113">
        <v>51372</v>
      </c>
      <c r="QW23" s="114">
        <v>5333</v>
      </c>
      <c r="QX23" s="114">
        <v>56705</v>
      </c>
      <c r="QY23" s="115"/>
      <c r="QZ23" s="113">
        <v>51372</v>
      </c>
      <c r="RA23" s="114">
        <v>5333</v>
      </c>
      <c r="RB23" s="114">
        <v>56705</v>
      </c>
      <c r="RC23" s="115"/>
      <c r="RD23" s="113">
        <v>51372</v>
      </c>
      <c r="RE23" s="114">
        <v>5333</v>
      </c>
      <c r="RF23" s="114">
        <v>56705</v>
      </c>
      <c r="RG23" s="115"/>
      <c r="RH23" s="113">
        <v>51372</v>
      </c>
      <c r="RI23" s="114">
        <v>5333</v>
      </c>
      <c r="RJ23" s="114">
        <v>56705</v>
      </c>
      <c r="RK23" s="115"/>
      <c r="RL23" s="240"/>
      <c r="RM23" s="240"/>
      <c r="RN23" s="240"/>
      <c r="RO23" s="240"/>
      <c r="RP23" s="113">
        <v>51372</v>
      </c>
      <c r="RQ23" s="114">
        <v>5333</v>
      </c>
      <c r="RR23" s="114">
        <v>56705</v>
      </c>
      <c r="RS23" s="115"/>
      <c r="RT23" s="113">
        <v>51372</v>
      </c>
      <c r="RU23" s="114">
        <v>5333</v>
      </c>
      <c r="RV23" s="114">
        <v>56705</v>
      </c>
      <c r="RW23" s="115"/>
      <c r="RX23" s="113">
        <v>52341</v>
      </c>
      <c r="RY23" s="114">
        <v>5333</v>
      </c>
      <c r="RZ23" s="114">
        <v>57674</v>
      </c>
      <c r="SA23" s="115"/>
    </row>
    <row r="24" spans="1:495" s="153" customFormat="1" x14ac:dyDescent="0.3">
      <c r="A24" s="291">
        <v>19</v>
      </c>
      <c r="B24" s="25" t="s">
        <v>37</v>
      </c>
      <c r="C24" s="26" t="s">
        <v>57</v>
      </c>
      <c r="D24" s="283"/>
      <c r="E24" s="27">
        <v>61016</v>
      </c>
      <c r="F24" s="192"/>
      <c r="G24" s="36">
        <v>61995</v>
      </c>
      <c r="H24" s="46">
        <v>60861</v>
      </c>
      <c r="I24" s="47">
        <f t="shared" si="0"/>
        <v>-1134</v>
      </c>
      <c r="J24" s="46">
        <v>60593</v>
      </c>
      <c r="K24" s="47">
        <f t="shared" si="95"/>
        <v>-268</v>
      </c>
      <c r="L24" s="46">
        <v>64165</v>
      </c>
      <c r="M24" s="47">
        <f>L24-J24</f>
        <v>3572</v>
      </c>
      <c r="N24" s="46">
        <f>59317+5866</f>
        <v>65183</v>
      </c>
      <c r="O24" s="47">
        <f>N24-L24</f>
        <v>1018</v>
      </c>
      <c r="P24" s="46">
        <f>59317+1276</f>
        <v>60593</v>
      </c>
      <c r="Q24" s="47">
        <f>P24-N24</f>
        <v>-4590</v>
      </c>
      <c r="R24" s="232"/>
      <c r="S24" s="233"/>
      <c r="T24" s="46">
        <f>59317+1869</f>
        <v>61186</v>
      </c>
      <c r="U24" s="36">
        <f>T24-P24</f>
        <v>593</v>
      </c>
      <c r="V24" s="46">
        <f>59317+3311</f>
        <v>62628</v>
      </c>
      <c r="W24" s="47">
        <f>V24-T24</f>
        <v>1442</v>
      </c>
      <c r="X24" s="61">
        <f>59317+3642</f>
        <v>62959</v>
      </c>
      <c r="Y24" s="32">
        <f>X24-V24</f>
        <v>331</v>
      </c>
      <c r="Z24" s="32">
        <f>59317+3642</f>
        <v>62959</v>
      </c>
      <c r="AA24" s="36">
        <f>Z24-X24</f>
        <v>0</v>
      </c>
      <c r="AB24" s="46">
        <f>59317+2056</f>
        <v>61373</v>
      </c>
      <c r="AC24" s="47">
        <f>AB24-Z24</f>
        <v>-1586</v>
      </c>
      <c r="AD24" s="39">
        <f>59317+1404</f>
        <v>60721</v>
      </c>
      <c r="AE24" s="32">
        <f>AD24-AB24</f>
        <v>-652</v>
      </c>
      <c r="AF24" s="232"/>
      <c r="AG24" s="233"/>
      <c r="AH24" s="27">
        <f>59317+2736</f>
        <v>62053</v>
      </c>
      <c r="AI24" s="32">
        <f>AH24-AD24</f>
        <v>1332</v>
      </c>
      <c r="AJ24" s="27">
        <f>59317+3311</f>
        <v>62628</v>
      </c>
      <c r="AK24" s="32">
        <f>AJ24-AH24</f>
        <v>575</v>
      </c>
      <c r="AL24" s="232"/>
      <c r="AM24" s="233"/>
      <c r="AN24" s="232"/>
      <c r="AO24" s="233"/>
      <c r="AP24" s="27">
        <f>59317+2261</f>
        <v>61578</v>
      </c>
      <c r="AQ24" s="32"/>
      <c r="AR24" s="27">
        <f>59317+2736</f>
        <v>62053</v>
      </c>
      <c r="AS24" s="32">
        <f>AR24-AP24</f>
        <v>475</v>
      </c>
      <c r="AT24" s="285"/>
      <c r="AU24" s="285"/>
      <c r="AV24" s="27">
        <f>59317+2487</f>
        <v>61804</v>
      </c>
      <c r="AW24" s="32">
        <f>AV24-AR24</f>
        <v>-249</v>
      </c>
      <c r="AX24" s="27">
        <f>59317+1699</f>
        <v>61016</v>
      </c>
      <c r="AY24" s="32">
        <f>AX24-AV24</f>
        <v>-788</v>
      </c>
      <c r="AZ24" s="27">
        <f>59317+3642</f>
        <v>62959</v>
      </c>
      <c r="BA24" s="32">
        <f>AZ24-AX24</f>
        <v>1943</v>
      </c>
      <c r="BB24" s="27">
        <f>59317+1544</f>
        <v>60861</v>
      </c>
      <c r="BC24" s="32">
        <f>BB24-AZ24</f>
        <v>-2098</v>
      </c>
      <c r="BD24" s="27">
        <f>59317+1276</f>
        <v>60593</v>
      </c>
      <c r="BE24" s="32">
        <f>BD24-BB24</f>
        <v>-268</v>
      </c>
      <c r="BF24" s="27">
        <f>59317+3311</f>
        <v>62628</v>
      </c>
      <c r="BG24" s="32">
        <f>BF24-BD24</f>
        <v>2035</v>
      </c>
      <c r="BH24" s="269"/>
      <c r="BI24" s="269"/>
      <c r="BJ24" s="155"/>
      <c r="BK24" s="113">
        <v>59317</v>
      </c>
      <c r="BL24" s="114">
        <v>3010</v>
      </c>
      <c r="BM24" s="114">
        <f>BK24+BL24</f>
        <v>62327</v>
      </c>
      <c r="BN24" s="115"/>
      <c r="BO24" s="113">
        <v>59317</v>
      </c>
      <c r="BP24" s="114">
        <v>1544</v>
      </c>
      <c r="BQ24" s="114">
        <f>BO24+BP24</f>
        <v>60861</v>
      </c>
      <c r="BR24" s="115">
        <f>BQ24-BM24</f>
        <v>-1466</v>
      </c>
      <c r="BS24" s="113">
        <v>59317</v>
      </c>
      <c r="BT24" s="114">
        <v>3311</v>
      </c>
      <c r="BU24" s="114">
        <f>BS24+BT24</f>
        <v>62628</v>
      </c>
      <c r="BV24" s="115">
        <f>BU24-BQ24</f>
        <v>1767</v>
      </c>
      <c r="BW24" s="113">
        <v>59317</v>
      </c>
      <c r="BX24" s="114">
        <v>2056</v>
      </c>
      <c r="BY24" s="114">
        <f>BW24+BX24</f>
        <v>61373</v>
      </c>
      <c r="BZ24" s="115">
        <f>BY24-BU24</f>
        <v>-1255</v>
      </c>
      <c r="CA24" s="113">
        <v>59317</v>
      </c>
      <c r="CB24" s="114">
        <v>2736</v>
      </c>
      <c r="CC24" s="114">
        <f t="shared" si="363"/>
        <v>62053</v>
      </c>
      <c r="CD24" s="115">
        <f>CC24-BY24</f>
        <v>680</v>
      </c>
      <c r="CE24" s="113">
        <v>59317</v>
      </c>
      <c r="CF24" s="114">
        <v>2487</v>
      </c>
      <c r="CG24" s="114">
        <f t="shared" si="364"/>
        <v>61804</v>
      </c>
      <c r="CH24" s="115">
        <f>CG24-CC24</f>
        <v>-249</v>
      </c>
      <c r="CI24" s="254"/>
      <c r="CJ24" s="240"/>
      <c r="CK24" s="240"/>
      <c r="CL24" s="255"/>
      <c r="CM24" s="113">
        <v>59317</v>
      </c>
      <c r="CN24" s="114">
        <v>1404</v>
      </c>
      <c r="CO24" s="114">
        <f t="shared" si="365"/>
        <v>60721</v>
      </c>
      <c r="CP24" s="115">
        <f>CO24-CG24</f>
        <v>-1083</v>
      </c>
      <c r="CQ24" s="113">
        <v>59317</v>
      </c>
      <c r="CR24" s="114">
        <v>3642</v>
      </c>
      <c r="CS24" s="114">
        <f t="shared" si="366"/>
        <v>62959</v>
      </c>
      <c r="CT24" s="115">
        <f>CS24-CO24</f>
        <v>2238</v>
      </c>
      <c r="CU24" s="113">
        <v>59317</v>
      </c>
      <c r="CV24" s="114">
        <v>4006</v>
      </c>
      <c r="CW24" s="114">
        <f t="shared" si="367"/>
        <v>63323</v>
      </c>
      <c r="CX24" s="115">
        <f>CW24-CS24</f>
        <v>364</v>
      </c>
      <c r="CY24" s="113">
        <v>59317</v>
      </c>
      <c r="CZ24" s="114">
        <v>2487</v>
      </c>
      <c r="DA24" s="114">
        <f t="shared" si="368"/>
        <v>61804</v>
      </c>
      <c r="DB24" s="115">
        <f t="shared" si="369"/>
        <v>-1519</v>
      </c>
      <c r="DC24" s="113">
        <v>59317</v>
      </c>
      <c r="DD24" s="114">
        <v>3642</v>
      </c>
      <c r="DE24" s="114">
        <f t="shared" si="370"/>
        <v>62959</v>
      </c>
      <c r="DF24" s="115">
        <f t="shared" si="371"/>
        <v>1155</v>
      </c>
      <c r="DG24" s="254"/>
      <c r="DH24" s="240"/>
      <c r="DI24" s="240"/>
      <c r="DJ24" s="240"/>
      <c r="DK24" s="254"/>
      <c r="DL24" s="240"/>
      <c r="DM24" s="240"/>
      <c r="DN24" s="240"/>
      <c r="DO24" s="113">
        <v>59317</v>
      </c>
      <c r="DP24" s="114">
        <v>2487</v>
      </c>
      <c r="DQ24" s="114">
        <f t="shared" ref="DQ24:DQ26" si="429">DO24+DP24</f>
        <v>61804</v>
      </c>
      <c r="DR24" s="115"/>
      <c r="DS24" s="113">
        <v>59317</v>
      </c>
      <c r="DT24" s="114">
        <v>3642</v>
      </c>
      <c r="DU24" s="114">
        <f t="shared" si="373"/>
        <v>62959</v>
      </c>
      <c r="DV24" s="115">
        <f t="shared" si="374"/>
        <v>1155</v>
      </c>
      <c r="DW24" s="113">
        <v>59317</v>
      </c>
      <c r="DX24" s="114">
        <v>2736</v>
      </c>
      <c r="DY24" s="114">
        <f t="shared" si="375"/>
        <v>62053</v>
      </c>
      <c r="DZ24" s="115">
        <f t="shared" si="376"/>
        <v>-906</v>
      </c>
      <c r="EA24" s="113">
        <v>59317</v>
      </c>
      <c r="EB24" s="114">
        <v>3642</v>
      </c>
      <c r="EC24" s="114">
        <f t="shared" si="377"/>
        <v>62959</v>
      </c>
      <c r="ED24" s="115">
        <f t="shared" si="378"/>
        <v>906</v>
      </c>
      <c r="EE24" s="113">
        <v>59317</v>
      </c>
      <c r="EF24" s="114">
        <v>2736</v>
      </c>
      <c r="EG24" s="114">
        <f t="shared" si="379"/>
        <v>62053</v>
      </c>
      <c r="EH24" s="115">
        <f t="shared" si="380"/>
        <v>-906</v>
      </c>
      <c r="EI24" s="113">
        <v>59317</v>
      </c>
      <c r="EJ24" s="114">
        <v>3642</v>
      </c>
      <c r="EK24" s="114">
        <f t="shared" si="381"/>
        <v>62959</v>
      </c>
      <c r="EL24" s="115">
        <f t="shared" si="382"/>
        <v>906</v>
      </c>
      <c r="EM24" s="271"/>
      <c r="EN24" s="271"/>
      <c r="EO24" s="113">
        <v>59317</v>
      </c>
      <c r="EP24" s="114">
        <v>2736</v>
      </c>
      <c r="EQ24" s="114">
        <f t="shared" si="383"/>
        <v>62053</v>
      </c>
      <c r="ER24" s="115">
        <f t="shared" ref="ER24:ER26" si="430">EQ24-EK24</f>
        <v>-906</v>
      </c>
      <c r="ES24" s="113">
        <v>59317</v>
      </c>
      <c r="ET24" s="114">
        <v>3642</v>
      </c>
      <c r="EU24" s="114">
        <f t="shared" si="384"/>
        <v>62959</v>
      </c>
      <c r="EV24" s="115">
        <f t="shared" ref="EV24" si="431">EU24-EO24</f>
        <v>3642</v>
      </c>
      <c r="EW24" s="260"/>
      <c r="EX24" s="260"/>
      <c r="EY24" s="260"/>
      <c r="EZ24" s="260"/>
      <c r="FA24" s="27">
        <v>59317</v>
      </c>
      <c r="FB24" s="32">
        <v>3642</v>
      </c>
      <c r="FC24" s="114">
        <f t="shared" ref="FC24:FC26" si="432">FA24+FB24</f>
        <v>62959</v>
      </c>
      <c r="FD24" s="32"/>
      <c r="FE24" s="27">
        <v>59317</v>
      </c>
      <c r="FF24" s="32">
        <v>2736</v>
      </c>
      <c r="FG24" s="114">
        <f t="shared" si="386"/>
        <v>62053</v>
      </c>
      <c r="FH24" s="32">
        <f t="shared" si="387"/>
        <v>-906</v>
      </c>
      <c r="FI24" s="27">
        <v>59317</v>
      </c>
      <c r="FJ24" s="32">
        <v>3642</v>
      </c>
      <c r="FK24" s="114">
        <f t="shared" si="388"/>
        <v>62959</v>
      </c>
      <c r="FL24" s="32">
        <f t="shared" si="389"/>
        <v>906</v>
      </c>
      <c r="FM24" s="260"/>
      <c r="FN24" s="260"/>
      <c r="FO24" s="260"/>
      <c r="FP24" s="260"/>
      <c r="FQ24" s="27"/>
      <c r="FR24" s="32"/>
      <c r="FS24" s="27"/>
      <c r="FT24" s="32"/>
      <c r="FU24" s="27">
        <v>59317</v>
      </c>
      <c r="FV24" s="32">
        <v>3642</v>
      </c>
      <c r="FW24" s="114">
        <f t="shared" si="390"/>
        <v>62959</v>
      </c>
      <c r="FX24" s="32"/>
      <c r="FZ24" s="113"/>
      <c r="GA24" s="114"/>
      <c r="GB24" s="114"/>
      <c r="GC24" s="115"/>
      <c r="GD24" s="260"/>
      <c r="GE24" s="260"/>
      <c r="GF24" s="260"/>
      <c r="GG24" s="260"/>
      <c r="GH24" s="27">
        <v>59317</v>
      </c>
      <c r="GI24" s="32">
        <v>3642</v>
      </c>
      <c r="GJ24" s="114">
        <f t="shared" si="391"/>
        <v>62959</v>
      </c>
      <c r="GK24" s="115"/>
      <c r="GL24" s="27">
        <v>59317</v>
      </c>
      <c r="GM24" s="32">
        <v>3642</v>
      </c>
      <c r="GN24" s="114">
        <f t="shared" si="392"/>
        <v>62959</v>
      </c>
      <c r="GO24" s="115">
        <f>GN24-GJ24</f>
        <v>0</v>
      </c>
      <c r="GP24" s="260"/>
      <c r="GQ24" s="260"/>
      <c r="GR24" s="260"/>
      <c r="GS24" s="260"/>
      <c r="GT24" s="27">
        <v>59317</v>
      </c>
      <c r="GU24" s="32">
        <v>2736</v>
      </c>
      <c r="GV24" s="114">
        <f t="shared" si="394"/>
        <v>62053</v>
      </c>
      <c r="GW24" s="115"/>
      <c r="GX24" s="27">
        <v>59317</v>
      </c>
      <c r="GY24" s="32">
        <v>3642</v>
      </c>
      <c r="GZ24" s="114">
        <f t="shared" si="395"/>
        <v>62959</v>
      </c>
      <c r="HA24" s="115">
        <f>GZ24-GV24</f>
        <v>906</v>
      </c>
      <c r="HB24" s="27">
        <v>59317</v>
      </c>
      <c r="HC24" s="32">
        <v>2736</v>
      </c>
      <c r="HD24" s="114">
        <f t="shared" si="397"/>
        <v>62053</v>
      </c>
      <c r="HE24" s="115">
        <f>HD24-GZ24</f>
        <v>-906</v>
      </c>
      <c r="HF24" s="27">
        <v>59317</v>
      </c>
      <c r="HG24" s="32">
        <v>3642</v>
      </c>
      <c r="HH24" s="114">
        <f t="shared" si="399"/>
        <v>62959</v>
      </c>
      <c r="HI24" s="115">
        <f>HH24-HD24</f>
        <v>906</v>
      </c>
      <c r="HJ24" s="27">
        <v>59317</v>
      </c>
      <c r="HK24" s="32">
        <v>2736</v>
      </c>
      <c r="HL24" s="114">
        <f t="shared" si="401"/>
        <v>62053</v>
      </c>
      <c r="HM24" s="115">
        <f>HL24-HH24</f>
        <v>-906</v>
      </c>
      <c r="HN24" s="27">
        <v>59317</v>
      </c>
      <c r="HO24" s="32">
        <v>3642</v>
      </c>
      <c r="HP24" s="114">
        <f t="shared" si="403"/>
        <v>62959</v>
      </c>
      <c r="HQ24" s="115">
        <f>HP24-HL24</f>
        <v>906</v>
      </c>
      <c r="HR24" s="254"/>
      <c r="HS24" s="240"/>
      <c r="HT24" s="240"/>
      <c r="HU24" s="255"/>
      <c r="HV24" s="27">
        <v>59317</v>
      </c>
      <c r="HW24" s="32">
        <v>3010</v>
      </c>
      <c r="HX24" s="114">
        <f t="shared" si="405"/>
        <v>62327</v>
      </c>
      <c r="HY24" s="115"/>
      <c r="HZ24" s="27">
        <v>59317</v>
      </c>
      <c r="IA24" s="32">
        <v>3010</v>
      </c>
      <c r="IB24" s="114">
        <f t="shared" si="406"/>
        <v>62327</v>
      </c>
      <c r="IC24" s="115">
        <f>IB24-HX24</f>
        <v>0</v>
      </c>
      <c r="ID24" s="27">
        <v>59317</v>
      </c>
      <c r="IE24" s="32">
        <v>3642</v>
      </c>
      <c r="IF24" s="114">
        <f t="shared" si="408"/>
        <v>62959</v>
      </c>
      <c r="IG24" s="115">
        <f>IF24-IB24</f>
        <v>632</v>
      </c>
      <c r="IH24" s="27">
        <v>63359</v>
      </c>
      <c r="II24" s="32">
        <v>8589</v>
      </c>
      <c r="IJ24" s="114">
        <f t="shared" si="409"/>
        <v>71948</v>
      </c>
      <c r="IK24" s="115">
        <f>IJ24-IF24</f>
        <v>8989</v>
      </c>
      <c r="IL24" s="27">
        <v>63492</v>
      </c>
      <c r="IM24" s="32">
        <v>9448</v>
      </c>
      <c r="IN24" s="114">
        <f t="shared" si="410"/>
        <v>72940</v>
      </c>
      <c r="IO24" s="115">
        <f>IN24-IJ24</f>
        <v>992</v>
      </c>
      <c r="IP24" s="254"/>
      <c r="IQ24" s="240"/>
      <c r="IR24" s="240"/>
      <c r="IS24" s="255"/>
      <c r="IT24" s="254"/>
      <c r="IU24" s="240"/>
      <c r="IV24" s="240"/>
      <c r="IW24" s="255"/>
      <c r="IX24" s="27">
        <v>63718</v>
      </c>
      <c r="IY24" s="32">
        <v>3010</v>
      </c>
      <c r="IZ24" s="114">
        <f t="shared" si="411"/>
        <v>66728</v>
      </c>
      <c r="JA24" s="115"/>
      <c r="JB24" s="27">
        <v>63813</v>
      </c>
      <c r="JC24" s="32">
        <v>3642</v>
      </c>
      <c r="JD24" s="114">
        <f t="shared" si="412"/>
        <v>67455</v>
      </c>
      <c r="JE24" s="115">
        <f>JD24-IZ24</f>
        <v>727</v>
      </c>
      <c r="JF24" s="27">
        <v>63964</v>
      </c>
      <c r="JG24" s="32">
        <v>3311</v>
      </c>
      <c r="JH24" s="114">
        <f t="shared" si="413"/>
        <v>67275</v>
      </c>
      <c r="JI24" s="115">
        <f>JH24-JD24</f>
        <v>-180</v>
      </c>
      <c r="JJ24" s="27">
        <v>64015</v>
      </c>
      <c r="JK24" s="32">
        <v>2487</v>
      </c>
      <c r="JL24" s="114">
        <f t="shared" si="414"/>
        <v>66502</v>
      </c>
      <c r="JM24" s="115">
        <f>JL24-JH24</f>
        <v>-773</v>
      </c>
      <c r="JN24" s="27">
        <v>64063</v>
      </c>
      <c r="JO24" s="27">
        <v>4006</v>
      </c>
      <c r="JP24" s="114">
        <f t="shared" si="415"/>
        <v>68069</v>
      </c>
      <c r="JQ24" s="115">
        <f>JP24-JL24</f>
        <v>1567</v>
      </c>
      <c r="JR24" s="27"/>
      <c r="JS24" s="27"/>
      <c r="JT24" s="114"/>
      <c r="JU24" s="115"/>
      <c r="JV24" s="254"/>
      <c r="JW24" s="240"/>
      <c r="JX24" s="240"/>
      <c r="JY24" s="255"/>
      <c r="JZ24" s="27">
        <v>77534</v>
      </c>
      <c r="KA24" s="27">
        <v>10392</v>
      </c>
      <c r="KB24" s="114">
        <f t="shared" si="416"/>
        <v>87926</v>
      </c>
      <c r="KC24" s="115">
        <f>KB24-JX24</f>
        <v>87926</v>
      </c>
      <c r="KD24" s="27">
        <v>77534</v>
      </c>
      <c r="KE24" s="27">
        <v>3010</v>
      </c>
      <c r="KF24" s="114">
        <f t="shared" si="417"/>
        <v>80544</v>
      </c>
      <c r="KG24" s="115">
        <f>KF24-KB24</f>
        <v>-7382</v>
      </c>
      <c r="KH24" s="27">
        <v>77534</v>
      </c>
      <c r="KI24" s="27">
        <v>2736</v>
      </c>
      <c r="KJ24" s="114">
        <f t="shared" si="418"/>
        <v>80270</v>
      </c>
      <c r="KK24" s="115">
        <f>KJ24-KF24</f>
        <v>-274</v>
      </c>
      <c r="KL24" s="27">
        <v>77534</v>
      </c>
      <c r="KM24" s="27">
        <v>2736</v>
      </c>
      <c r="KN24" s="114">
        <f t="shared" si="419"/>
        <v>80270</v>
      </c>
      <c r="KO24" s="115">
        <f>KN24-KJ24</f>
        <v>0</v>
      </c>
      <c r="KP24" s="27">
        <v>77534</v>
      </c>
      <c r="KQ24" s="27">
        <v>3311</v>
      </c>
      <c r="KR24" s="114">
        <f t="shared" si="420"/>
        <v>80845</v>
      </c>
      <c r="KS24" s="115">
        <f>KR24-KN24</f>
        <v>575</v>
      </c>
      <c r="KU24" s="27">
        <v>77534</v>
      </c>
      <c r="KV24" s="27">
        <v>3311</v>
      </c>
      <c r="KW24" s="114">
        <f t="shared" si="421"/>
        <v>80845</v>
      </c>
      <c r="KX24" s="115">
        <f>KW24-KS24</f>
        <v>80270</v>
      </c>
      <c r="KY24" s="260"/>
      <c r="KZ24" s="260"/>
      <c r="LA24" s="260"/>
      <c r="LB24" s="260"/>
      <c r="LC24" s="260"/>
      <c r="LD24" s="260"/>
      <c r="LE24" s="260"/>
      <c r="LF24" s="260"/>
      <c r="LG24" s="113">
        <v>83486</v>
      </c>
      <c r="LH24" s="114">
        <v>4848</v>
      </c>
      <c r="LI24" s="114">
        <f t="shared" si="422"/>
        <v>88334</v>
      </c>
      <c r="LJ24" s="115"/>
      <c r="LK24" s="113"/>
      <c r="LL24" s="114"/>
      <c r="LM24" s="114"/>
      <c r="LN24" s="115"/>
      <c r="LO24" s="260"/>
      <c r="LP24" s="260"/>
      <c r="LQ24" s="260"/>
      <c r="LR24" s="260"/>
      <c r="LS24" s="260"/>
      <c r="LT24" s="260"/>
      <c r="LU24" s="260"/>
      <c r="LV24" s="260"/>
      <c r="LW24" s="113">
        <v>83486</v>
      </c>
      <c r="LX24" s="114">
        <v>4848</v>
      </c>
      <c r="LY24" s="114">
        <f t="shared" si="423"/>
        <v>88334</v>
      </c>
      <c r="LZ24" s="115"/>
      <c r="MA24" s="260"/>
      <c r="MB24" s="260"/>
      <c r="MC24" s="260"/>
      <c r="MD24" s="260"/>
      <c r="ME24" s="113">
        <v>89571</v>
      </c>
      <c r="MF24" s="114">
        <v>4006</v>
      </c>
      <c r="MG24" s="114">
        <f t="shared" si="424"/>
        <v>93577</v>
      </c>
      <c r="MH24" s="115"/>
      <c r="MI24" s="113">
        <v>89571</v>
      </c>
      <c r="MJ24" s="114">
        <v>4006</v>
      </c>
      <c r="MK24" s="114">
        <f t="shared" si="425"/>
        <v>93577</v>
      </c>
      <c r="ML24" s="115">
        <f>MK24-MG24</f>
        <v>0</v>
      </c>
      <c r="MM24" s="113">
        <v>89571</v>
      </c>
      <c r="MN24" s="114">
        <v>4006</v>
      </c>
      <c r="MO24" s="114">
        <f t="shared" si="426"/>
        <v>93577</v>
      </c>
      <c r="MP24" s="115">
        <f>MO24-MK24</f>
        <v>0</v>
      </c>
      <c r="MQ24" s="113">
        <v>89571</v>
      </c>
      <c r="MR24" s="114">
        <v>541</v>
      </c>
      <c r="MS24" s="114">
        <f t="shared" si="427"/>
        <v>90112</v>
      </c>
      <c r="MT24" s="115">
        <f>MS24-MO24</f>
        <v>-3465</v>
      </c>
      <c r="MU24" s="113">
        <v>89571</v>
      </c>
      <c r="MV24" s="114">
        <v>541</v>
      </c>
      <c r="MW24" s="114">
        <f t="shared" si="428"/>
        <v>90112</v>
      </c>
      <c r="MX24" s="115">
        <f>MW24-MS24</f>
        <v>0</v>
      </c>
      <c r="MY24" s="260"/>
      <c r="MZ24" s="260"/>
      <c r="NA24" s="260"/>
      <c r="NB24" s="260"/>
      <c r="NC24" s="260"/>
      <c r="ND24" s="260"/>
      <c r="NE24" s="260"/>
      <c r="NF24" s="260"/>
      <c r="NG24" s="27">
        <v>89571</v>
      </c>
      <c r="NH24" s="32">
        <v>2261</v>
      </c>
      <c r="NI24" s="114"/>
      <c r="NJ24" s="115"/>
      <c r="NK24" s="27">
        <v>89571</v>
      </c>
      <c r="NL24" s="32">
        <v>2261</v>
      </c>
      <c r="NM24" s="114"/>
      <c r="NN24" s="115"/>
      <c r="NO24" s="27">
        <v>89571</v>
      </c>
      <c r="NP24" s="32">
        <v>2261</v>
      </c>
      <c r="NQ24" s="114">
        <f t="shared" si="92"/>
        <v>91832</v>
      </c>
      <c r="NR24" s="115"/>
      <c r="NS24" s="27">
        <v>89571</v>
      </c>
      <c r="NT24" s="32">
        <v>2261</v>
      </c>
      <c r="NU24" s="114">
        <f t="shared" si="93"/>
        <v>91832</v>
      </c>
      <c r="NV24" s="115"/>
      <c r="NW24" s="260"/>
      <c r="NX24" s="260"/>
      <c r="NY24" s="260"/>
      <c r="NZ24" s="260"/>
      <c r="OA24" s="27">
        <v>89571</v>
      </c>
      <c r="OB24" s="32">
        <v>2261</v>
      </c>
      <c r="OC24" s="114">
        <f t="shared" si="94"/>
        <v>91832</v>
      </c>
      <c r="OD24" s="115"/>
      <c r="OE24" s="260"/>
      <c r="OF24" s="260"/>
      <c r="OG24" s="260"/>
      <c r="OH24" s="260"/>
      <c r="OI24" s="27">
        <v>89571</v>
      </c>
      <c r="OJ24" s="27">
        <v>2261</v>
      </c>
      <c r="OK24" s="114">
        <v>91832</v>
      </c>
      <c r="OL24" s="115"/>
      <c r="OM24" s="27">
        <v>89571</v>
      </c>
      <c r="ON24" s="27">
        <v>2261</v>
      </c>
      <c r="OO24" s="114">
        <v>91832</v>
      </c>
      <c r="OP24" s="115"/>
      <c r="OQ24" s="27">
        <v>89571</v>
      </c>
      <c r="OR24" s="27">
        <v>2261</v>
      </c>
      <c r="OS24" s="114">
        <v>91832</v>
      </c>
      <c r="OT24" s="115"/>
      <c r="OU24" s="27">
        <v>89571</v>
      </c>
      <c r="OV24" s="27">
        <v>3642</v>
      </c>
      <c r="OW24" s="114">
        <v>93213</v>
      </c>
      <c r="OX24" s="115"/>
      <c r="OY24" s="27">
        <v>89571</v>
      </c>
      <c r="OZ24" s="27">
        <v>3642</v>
      </c>
      <c r="PA24" s="114">
        <v>93213</v>
      </c>
      <c r="PB24" s="115"/>
      <c r="PC24" s="27">
        <v>89571</v>
      </c>
      <c r="PD24" s="27">
        <v>3642</v>
      </c>
      <c r="PE24" s="114">
        <v>93213</v>
      </c>
      <c r="PF24" s="115"/>
      <c r="PG24" s="27"/>
      <c r="PH24" s="27"/>
      <c r="PI24" s="114"/>
      <c r="PJ24" s="115"/>
      <c r="PK24" s="27">
        <v>89571</v>
      </c>
      <c r="PL24" s="27">
        <v>3642</v>
      </c>
      <c r="PM24" s="114">
        <v>93213</v>
      </c>
      <c r="PN24" s="115"/>
      <c r="PP24" s="27">
        <v>89571</v>
      </c>
      <c r="PQ24" s="27">
        <v>3642</v>
      </c>
      <c r="PR24" s="114">
        <v>93213</v>
      </c>
      <c r="PS24" s="115"/>
      <c r="PT24" s="27">
        <v>89571</v>
      </c>
      <c r="PU24" s="27">
        <v>3642</v>
      </c>
      <c r="PV24" s="114">
        <v>93213</v>
      </c>
      <c r="PW24" s="115"/>
      <c r="PX24" s="27">
        <v>89571</v>
      </c>
      <c r="PY24" s="27">
        <v>3642</v>
      </c>
      <c r="PZ24" s="114">
        <v>93213</v>
      </c>
      <c r="QA24" s="115"/>
      <c r="QB24" s="27">
        <v>89571</v>
      </c>
      <c r="QC24" s="27">
        <v>3642</v>
      </c>
      <c r="QD24" s="114">
        <v>93213</v>
      </c>
      <c r="QE24" s="115"/>
      <c r="QF24" s="27">
        <v>89571</v>
      </c>
      <c r="QG24" s="27">
        <v>3642</v>
      </c>
      <c r="QH24" s="114">
        <v>93213</v>
      </c>
      <c r="QI24" s="115"/>
      <c r="QJ24" s="290"/>
      <c r="QK24" s="290"/>
      <c r="QL24" s="290"/>
      <c r="QM24" s="290"/>
      <c r="QN24" s="27">
        <v>89571</v>
      </c>
      <c r="QO24" s="27">
        <v>3642</v>
      </c>
      <c r="QP24" s="114">
        <v>93213</v>
      </c>
      <c r="QQ24" s="115"/>
      <c r="QR24" s="27">
        <v>89571</v>
      </c>
      <c r="QS24" s="27">
        <v>3642</v>
      </c>
      <c r="QT24" s="114">
        <v>93213</v>
      </c>
      <c r="QU24" s="115"/>
      <c r="QV24" s="27">
        <v>89571</v>
      </c>
      <c r="QW24" s="27">
        <v>3642</v>
      </c>
      <c r="QX24" s="114">
        <v>93213</v>
      </c>
      <c r="QY24" s="115"/>
      <c r="QZ24" s="27">
        <v>89571</v>
      </c>
      <c r="RA24" s="27">
        <v>3642</v>
      </c>
      <c r="RB24" s="114">
        <v>93213</v>
      </c>
      <c r="RC24" s="115"/>
      <c r="RD24" s="27">
        <v>89571</v>
      </c>
      <c r="RE24" s="27">
        <v>3642</v>
      </c>
      <c r="RF24" s="114">
        <v>93213</v>
      </c>
      <c r="RG24" s="115"/>
      <c r="RH24" s="27">
        <v>89571</v>
      </c>
      <c r="RI24" s="27">
        <v>3642</v>
      </c>
      <c r="RJ24" s="114">
        <v>93213</v>
      </c>
      <c r="RK24" s="115"/>
      <c r="RL24" s="240"/>
      <c r="RM24" s="240"/>
      <c r="RN24" s="240"/>
      <c r="RO24" s="240"/>
      <c r="RP24" s="27">
        <v>89571</v>
      </c>
      <c r="RQ24" s="27">
        <v>3642</v>
      </c>
      <c r="RR24" s="114">
        <v>93213</v>
      </c>
      <c r="RS24" s="115"/>
      <c r="RT24" s="27">
        <v>89571</v>
      </c>
      <c r="RU24" s="27">
        <v>3642</v>
      </c>
      <c r="RV24" s="114">
        <v>93213</v>
      </c>
      <c r="RW24" s="115"/>
      <c r="RX24" s="27">
        <v>89571</v>
      </c>
      <c r="RY24" s="27">
        <v>3642</v>
      </c>
      <c r="RZ24" s="114">
        <v>93213</v>
      </c>
      <c r="SA24" s="115"/>
    </row>
    <row r="25" spans="1:495" x14ac:dyDescent="0.3">
      <c r="A25" s="291">
        <v>20</v>
      </c>
      <c r="B25" s="25" t="s">
        <v>58</v>
      </c>
      <c r="C25" s="26" t="s">
        <v>47</v>
      </c>
      <c r="D25" s="283"/>
      <c r="E25" s="31"/>
      <c r="F25" s="192"/>
      <c r="G25" s="37"/>
      <c r="H25" s="48"/>
      <c r="I25" s="49">
        <f t="shared" si="0"/>
        <v>0</v>
      </c>
      <c r="J25" s="48"/>
      <c r="K25" s="49"/>
      <c r="L25" s="48"/>
      <c r="M25" s="49"/>
      <c r="N25" s="48"/>
      <c r="O25" s="49"/>
      <c r="P25" s="48"/>
      <c r="Q25" s="49"/>
      <c r="R25" s="232"/>
      <c r="S25" s="233"/>
      <c r="T25" s="48"/>
      <c r="U25" s="37"/>
      <c r="V25" s="48"/>
      <c r="W25" s="49"/>
      <c r="X25" s="40"/>
      <c r="Y25" s="33"/>
      <c r="Z25" s="33"/>
      <c r="AA25" s="37"/>
      <c r="AB25" s="48"/>
      <c r="AC25" s="49"/>
      <c r="AD25" s="40"/>
      <c r="AE25" s="33"/>
      <c r="AF25" s="232"/>
      <c r="AG25" s="233"/>
      <c r="AH25" s="31"/>
      <c r="AI25" s="33"/>
      <c r="AJ25" s="31"/>
      <c r="AK25" s="33"/>
      <c r="AL25" s="232"/>
      <c r="AM25" s="233"/>
      <c r="AN25" s="232"/>
      <c r="AO25" s="233"/>
      <c r="AP25" s="31"/>
      <c r="AQ25" s="33"/>
      <c r="AR25" s="31"/>
      <c r="AS25" s="33"/>
      <c r="AT25" s="285"/>
      <c r="AU25" s="285"/>
      <c r="AV25" s="31"/>
      <c r="AW25" s="33"/>
      <c r="AX25" s="31"/>
      <c r="AY25" s="33"/>
      <c r="AZ25" s="31"/>
      <c r="BA25" s="33"/>
      <c r="BB25" s="31"/>
      <c r="BC25" s="33"/>
      <c r="BD25" s="31"/>
      <c r="BE25" s="33"/>
      <c r="BF25" s="31"/>
      <c r="BG25" s="33"/>
      <c r="BH25" s="269"/>
      <c r="BI25" s="269"/>
      <c r="BJ25" s="18"/>
      <c r="BK25" s="113"/>
      <c r="BL25" s="114"/>
      <c r="BM25" s="114"/>
      <c r="BN25" s="115"/>
      <c r="BO25" s="113"/>
      <c r="BP25" s="114"/>
      <c r="BQ25" s="114"/>
      <c r="BR25" s="115"/>
      <c r="BS25" s="113"/>
      <c r="BT25" s="114"/>
      <c r="BU25" s="114"/>
      <c r="BV25" s="115"/>
      <c r="BW25" s="113"/>
      <c r="BX25" s="114"/>
      <c r="BY25" s="114"/>
      <c r="BZ25" s="115"/>
      <c r="CA25" s="113">
        <v>2696</v>
      </c>
      <c r="CB25" s="114">
        <v>899</v>
      </c>
      <c r="CC25" s="114">
        <f t="shared" si="363"/>
        <v>3595</v>
      </c>
      <c r="CD25" s="115"/>
      <c r="CE25" s="113">
        <v>2696</v>
      </c>
      <c r="CF25" s="114">
        <v>899</v>
      </c>
      <c r="CG25" s="114">
        <f t="shared" si="364"/>
        <v>3595</v>
      </c>
      <c r="CH25" s="115"/>
      <c r="CI25" s="254"/>
      <c r="CJ25" s="240"/>
      <c r="CK25" s="240"/>
      <c r="CL25" s="255"/>
      <c r="CM25" s="113">
        <v>2696</v>
      </c>
      <c r="CN25" s="114">
        <v>899</v>
      </c>
      <c r="CO25" s="114">
        <f t="shared" si="365"/>
        <v>3595</v>
      </c>
      <c r="CP25" s="115"/>
      <c r="CQ25" s="113">
        <v>2696</v>
      </c>
      <c r="CR25" s="114">
        <v>899</v>
      </c>
      <c r="CS25" s="114">
        <f t="shared" si="366"/>
        <v>3595</v>
      </c>
      <c r="CT25" s="115"/>
      <c r="CU25" s="113">
        <v>2696</v>
      </c>
      <c r="CV25" s="114">
        <v>899</v>
      </c>
      <c r="CW25" s="114">
        <f t="shared" si="367"/>
        <v>3595</v>
      </c>
      <c r="CX25" s="115"/>
      <c r="CY25" s="113">
        <v>2760</v>
      </c>
      <c r="CZ25" s="114">
        <v>899</v>
      </c>
      <c r="DA25" s="114">
        <f t="shared" si="368"/>
        <v>3659</v>
      </c>
      <c r="DB25" s="115">
        <f t="shared" si="369"/>
        <v>64</v>
      </c>
      <c r="DC25" s="113">
        <v>2760</v>
      </c>
      <c r="DD25" s="114">
        <v>899</v>
      </c>
      <c r="DE25" s="114">
        <f t="shared" si="370"/>
        <v>3659</v>
      </c>
      <c r="DF25" s="115">
        <f t="shared" si="371"/>
        <v>0</v>
      </c>
      <c r="DG25" s="254"/>
      <c r="DH25" s="240"/>
      <c r="DI25" s="240"/>
      <c r="DJ25" s="240"/>
      <c r="DK25" s="254"/>
      <c r="DL25" s="240"/>
      <c r="DM25" s="240"/>
      <c r="DN25" s="240"/>
      <c r="DO25" s="113">
        <v>2760</v>
      </c>
      <c r="DP25" s="114">
        <v>899</v>
      </c>
      <c r="DQ25" s="114">
        <f t="shared" si="429"/>
        <v>3659</v>
      </c>
      <c r="DR25" s="115"/>
      <c r="DS25" s="113">
        <v>2760</v>
      </c>
      <c r="DT25" s="114">
        <v>899</v>
      </c>
      <c r="DU25" s="114">
        <f t="shared" si="373"/>
        <v>3659</v>
      </c>
      <c r="DV25" s="115">
        <f t="shared" si="374"/>
        <v>0</v>
      </c>
      <c r="DW25" s="113">
        <v>2760</v>
      </c>
      <c r="DX25" s="114">
        <v>899</v>
      </c>
      <c r="DY25" s="114">
        <f t="shared" si="375"/>
        <v>3659</v>
      </c>
      <c r="DZ25" s="115">
        <f t="shared" si="376"/>
        <v>0</v>
      </c>
      <c r="EA25" s="113">
        <v>2824</v>
      </c>
      <c r="EB25" s="114">
        <v>899</v>
      </c>
      <c r="EC25" s="114">
        <f t="shared" si="377"/>
        <v>3723</v>
      </c>
      <c r="ED25" s="115">
        <f t="shared" si="378"/>
        <v>64</v>
      </c>
      <c r="EE25" s="113">
        <v>2824</v>
      </c>
      <c r="EF25" s="114">
        <v>899</v>
      </c>
      <c r="EG25" s="114">
        <f t="shared" si="379"/>
        <v>3723</v>
      </c>
      <c r="EH25" s="115">
        <f t="shared" si="380"/>
        <v>0</v>
      </c>
      <c r="EI25" s="113">
        <v>2824</v>
      </c>
      <c r="EJ25" s="114">
        <v>899</v>
      </c>
      <c r="EK25" s="114">
        <f t="shared" si="381"/>
        <v>3723</v>
      </c>
      <c r="EL25" s="115">
        <f t="shared" si="382"/>
        <v>0</v>
      </c>
      <c r="EM25" s="271"/>
      <c r="EN25" s="271"/>
      <c r="EO25" s="113">
        <v>2824</v>
      </c>
      <c r="EP25" s="114">
        <v>899</v>
      </c>
      <c r="EQ25" s="114">
        <f t="shared" si="383"/>
        <v>3723</v>
      </c>
      <c r="ER25" s="115">
        <f t="shared" ref="ER25" si="433">EQ25-EM25</f>
        <v>3723</v>
      </c>
      <c r="ES25" s="113">
        <v>2824</v>
      </c>
      <c r="ET25" s="114">
        <v>899</v>
      </c>
      <c r="EU25" s="114">
        <f t="shared" si="384"/>
        <v>3723</v>
      </c>
      <c r="EV25" s="115">
        <f t="shared" ref="EV25" si="434">EU25-EQ25</f>
        <v>0</v>
      </c>
      <c r="EW25" s="260"/>
      <c r="EX25" s="260"/>
      <c r="EY25" s="260"/>
      <c r="EZ25" s="260"/>
      <c r="FA25" s="113">
        <v>2888</v>
      </c>
      <c r="FB25" s="114">
        <v>899</v>
      </c>
      <c r="FC25" s="114">
        <f t="shared" si="432"/>
        <v>3787</v>
      </c>
      <c r="FD25" s="33"/>
      <c r="FE25" s="113">
        <v>2888</v>
      </c>
      <c r="FF25" s="114">
        <v>899</v>
      </c>
      <c r="FG25" s="114">
        <f t="shared" ref="FG25:FG26" si="435">FE25+FF25</f>
        <v>3787</v>
      </c>
      <c r="FH25" s="115">
        <f t="shared" si="387"/>
        <v>0</v>
      </c>
      <c r="FI25" s="113">
        <v>2888</v>
      </c>
      <c r="FJ25" s="114">
        <v>899</v>
      </c>
      <c r="FK25" s="114">
        <f t="shared" si="388"/>
        <v>3787</v>
      </c>
      <c r="FL25" s="115">
        <f t="shared" si="389"/>
        <v>0</v>
      </c>
      <c r="FM25" s="260"/>
      <c r="FN25" s="260"/>
      <c r="FO25" s="260"/>
      <c r="FP25" s="260"/>
      <c r="FQ25" s="31"/>
      <c r="FR25" s="33"/>
      <c r="FS25" s="31"/>
      <c r="FT25" s="33"/>
      <c r="FU25" s="113">
        <v>2952</v>
      </c>
      <c r="FV25" s="114">
        <v>899</v>
      </c>
      <c r="FW25" s="114">
        <f t="shared" si="390"/>
        <v>3851</v>
      </c>
      <c r="FX25" s="33"/>
      <c r="FZ25" s="113"/>
      <c r="GA25" s="114"/>
      <c r="GB25" s="114"/>
      <c r="GC25" s="115"/>
      <c r="GD25" s="260"/>
      <c r="GE25" s="260"/>
      <c r="GF25" s="260"/>
      <c r="GG25" s="260"/>
      <c r="GH25" s="113">
        <v>2952</v>
      </c>
      <c r="GI25" s="114">
        <v>899</v>
      </c>
      <c r="GJ25" s="114">
        <f t="shared" si="391"/>
        <v>3851</v>
      </c>
      <c r="GK25" s="115"/>
      <c r="GL25" s="113">
        <v>3016</v>
      </c>
      <c r="GM25" s="114">
        <v>899</v>
      </c>
      <c r="GN25" s="114">
        <f t="shared" si="392"/>
        <v>3915</v>
      </c>
      <c r="GO25" s="115">
        <f t="shared" ref="GO25:GO26" si="436">GN25-GJ25</f>
        <v>64</v>
      </c>
      <c r="GP25" s="260"/>
      <c r="GQ25" s="260"/>
      <c r="GR25" s="260"/>
      <c r="GS25" s="260"/>
      <c r="GT25" s="113">
        <v>3016</v>
      </c>
      <c r="GU25" s="114">
        <v>899</v>
      </c>
      <c r="GV25" s="114">
        <f t="shared" si="394"/>
        <v>3915</v>
      </c>
      <c r="GW25" s="115"/>
      <c r="GX25" s="113">
        <v>3016</v>
      </c>
      <c r="GY25" s="114">
        <v>899</v>
      </c>
      <c r="GZ25" s="114">
        <f t="shared" si="395"/>
        <v>3915</v>
      </c>
      <c r="HA25" s="115">
        <f t="shared" ref="HA25:HA26" si="437">GZ25-GV25</f>
        <v>0</v>
      </c>
      <c r="HB25" s="113">
        <v>3016</v>
      </c>
      <c r="HC25" s="114">
        <v>899</v>
      </c>
      <c r="HD25" s="114">
        <f t="shared" si="397"/>
        <v>3915</v>
      </c>
      <c r="HE25" s="115">
        <f t="shared" ref="HE25:HE26" si="438">HD25-GZ25</f>
        <v>0</v>
      </c>
      <c r="HF25" s="113">
        <v>3016</v>
      </c>
      <c r="HG25" s="114">
        <v>899</v>
      </c>
      <c r="HH25" s="114">
        <f t="shared" si="399"/>
        <v>3915</v>
      </c>
      <c r="HI25" s="115">
        <f t="shared" ref="HI25:HI26" si="439">HH25-HD25</f>
        <v>0</v>
      </c>
      <c r="HJ25" s="113">
        <v>3016</v>
      </c>
      <c r="HK25" s="114">
        <v>899</v>
      </c>
      <c r="HL25" s="114">
        <f t="shared" si="401"/>
        <v>3915</v>
      </c>
      <c r="HM25" s="115">
        <f t="shared" ref="HM25:HM26" si="440">HL25-HH25</f>
        <v>0</v>
      </c>
      <c r="HN25" s="113">
        <v>3144</v>
      </c>
      <c r="HO25" s="114">
        <v>899</v>
      </c>
      <c r="HP25" s="114">
        <f t="shared" si="403"/>
        <v>4043</v>
      </c>
      <c r="HQ25" s="115">
        <f t="shared" ref="HQ25:HQ26" si="441">HP25-HL25</f>
        <v>128</v>
      </c>
      <c r="HR25" s="254"/>
      <c r="HS25" s="240"/>
      <c r="HT25" s="240"/>
      <c r="HU25" s="255"/>
      <c r="HV25" s="113">
        <v>3144</v>
      </c>
      <c r="HW25" s="114">
        <v>899</v>
      </c>
      <c r="HX25" s="114">
        <f t="shared" si="405"/>
        <v>4043</v>
      </c>
      <c r="HY25" s="115"/>
      <c r="HZ25" s="113">
        <v>3144</v>
      </c>
      <c r="IA25" s="114">
        <v>899</v>
      </c>
      <c r="IB25" s="114">
        <f t="shared" si="406"/>
        <v>4043</v>
      </c>
      <c r="IC25" s="115">
        <f t="shared" ref="IC25" si="442">IB25-HX25</f>
        <v>0</v>
      </c>
      <c r="ID25" s="113">
        <v>3144</v>
      </c>
      <c r="IE25" s="114">
        <v>899</v>
      </c>
      <c r="IF25" s="114">
        <f t="shared" si="408"/>
        <v>4043</v>
      </c>
      <c r="IG25" s="115">
        <f>IF25-IB25</f>
        <v>0</v>
      </c>
      <c r="IH25" s="113">
        <v>3912</v>
      </c>
      <c r="II25" s="114">
        <v>1283</v>
      </c>
      <c r="IJ25" s="114">
        <f t="shared" si="409"/>
        <v>5195</v>
      </c>
      <c r="IK25" s="115">
        <f>IJ25-IF25</f>
        <v>1152</v>
      </c>
      <c r="IL25" s="113">
        <v>3976</v>
      </c>
      <c r="IM25" s="114">
        <v>1283</v>
      </c>
      <c r="IN25" s="114">
        <f t="shared" si="410"/>
        <v>5259</v>
      </c>
      <c r="IO25" s="115">
        <f>IN25-IJ25</f>
        <v>64</v>
      </c>
      <c r="IP25" s="254"/>
      <c r="IQ25" s="240"/>
      <c r="IR25" s="240"/>
      <c r="IS25" s="255"/>
      <c r="IT25" s="254"/>
      <c r="IU25" s="240"/>
      <c r="IV25" s="240"/>
      <c r="IW25" s="255"/>
      <c r="IX25" s="113">
        <v>3976</v>
      </c>
      <c r="IY25" s="114">
        <v>1283</v>
      </c>
      <c r="IZ25" s="114">
        <f t="shared" si="411"/>
        <v>5259</v>
      </c>
      <c r="JA25" s="115"/>
      <c r="JB25" s="113">
        <v>4040</v>
      </c>
      <c r="JC25" s="114">
        <v>1283</v>
      </c>
      <c r="JD25" s="114">
        <f t="shared" si="412"/>
        <v>5323</v>
      </c>
      <c r="JE25" s="115">
        <f>JD25-IZ25</f>
        <v>64</v>
      </c>
      <c r="JF25" s="113">
        <v>4040</v>
      </c>
      <c r="JG25" s="114">
        <v>1283</v>
      </c>
      <c r="JH25" s="114">
        <f t="shared" si="413"/>
        <v>5323</v>
      </c>
      <c r="JI25" s="115">
        <f>JH25-JD25</f>
        <v>0</v>
      </c>
      <c r="JJ25" s="113">
        <v>4040</v>
      </c>
      <c r="JK25" s="114">
        <v>1283</v>
      </c>
      <c r="JL25" s="114">
        <f t="shared" si="414"/>
        <v>5323</v>
      </c>
      <c r="JM25" s="115">
        <f>JL25-JH25</f>
        <v>0</v>
      </c>
      <c r="JN25" s="113">
        <v>4040</v>
      </c>
      <c r="JO25" s="114">
        <v>1283</v>
      </c>
      <c r="JP25" s="114">
        <f t="shared" si="415"/>
        <v>5323</v>
      </c>
      <c r="JQ25" s="115">
        <f>JP25-JL25</f>
        <v>0</v>
      </c>
      <c r="JR25" s="113"/>
      <c r="JS25" s="114"/>
      <c r="JT25" s="114"/>
      <c r="JU25" s="115"/>
      <c r="JV25" s="254"/>
      <c r="JW25" s="240"/>
      <c r="JX25" s="240"/>
      <c r="JY25" s="255"/>
      <c r="JZ25" s="113">
        <v>4680</v>
      </c>
      <c r="KA25" s="114">
        <v>643</v>
      </c>
      <c r="KB25" s="114">
        <f t="shared" si="416"/>
        <v>5323</v>
      </c>
      <c r="KC25" s="115">
        <f>KB25-JX25</f>
        <v>5323</v>
      </c>
      <c r="KD25" s="113">
        <v>4680</v>
      </c>
      <c r="KE25" s="114">
        <v>835</v>
      </c>
      <c r="KF25" s="114">
        <f t="shared" si="417"/>
        <v>5515</v>
      </c>
      <c r="KG25" s="115">
        <f>KF25-KB25</f>
        <v>192</v>
      </c>
      <c r="KH25" s="113">
        <v>4680</v>
      </c>
      <c r="KI25" s="114">
        <v>835</v>
      </c>
      <c r="KJ25" s="114">
        <f t="shared" si="418"/>
        <v>5515</v>
      </c>
      <c r="KK25" s="115">
        <f>KJ25-KF25</f>
        <v>0</v>
      </c>
      <c r="KL25" s="113">
        <v>4680</v>
      </c>
      <c r="KM25" s="114">
        <v>835</v>
      </c>
      <c r="KN25" s="114">
        <f t="shared" si="419"/>
        <v>5515</v>
      </c>
      <c r="KO25" s="115">
        <f>KN25-KJ25</f>
        <v>0</v>
      </c>
      <c r="KP25" s="113">
        <v>4680</v>
      </c>
      <c r="KQ25" s="114">
        <v>1027</v>
      </c>
      <c r="KR25" s="114">
        <f t="shared" si="420"/>
        <v>5707</v>
      </c>
      <c r="KS25" s="115">
        <f>KR25-KN25</f>
        <v>192</v>
      </c>
      <c r="KU25" s="113">
        <v>4680</v>
      </c>
      <c r="KV25" s="114">
        <v>1027</v>
      </c>
      <c r="KW25" s="114">
        <f t="shared" si="421"/>
        <v>5707</v>
      </c>
      <c r="KX25" s="115">
        <f>KW25-KS25</f>
        <v>5515</v>
      </c>
      <c r="KY25" s="260"/>
      <c r="KZ25" s="260"/>
      <c r="LA25" s="260"/>
      <c r="LB25" s="260"/>
      <c r="LC25" s="260"/>
      <c r="LD25" s="260"/>
      <c r="LE25" s="260"/>
      <c r="LF25" s="260"/>
      <c r="LG25" s="113">
        <v>4680</v>
      </c>
      <c r="LH25" s="114">
        <v>1603</v>
      </c>
      <c r="LI25" s="114">
        <f t="shared" ref="LI25" si="443">LG25+LH25</f>
        <v>6283</v>
      </c>
      <c r="LJ25" s="115"/>
      <c r="LK25" s="113"/>
      <c r="LL25" s="114"/>
      <c r="LM25" s="114"/>
      <c r="LN25" s="115"/>
      <c r="LO25" s="260"/>
      <c r="LP25" s="260"/>
      <c r="LQ25" s="260"/>
      <c r="LR25" s="260"/>
      <c r="LS25" s="260"/>
      <c r="LT25" s="260"/>
      <c r="LU25" s="260"/>
      <c r="LV25" s="260"/>
      <c r="LW25" s="113">
        <v>4680</v>
      </c>
      <c r="LX25" s="114">
        <v>1603</v>
      </c>
      <c r="LY25" s="114">
        <f t="shared" si="423"/>
        <v>6283</v>
      </c>
      <c r="LZ25" s="115"/>
      <c r="MA25" s="260"/>
      <c r="MB25" s="260"/>
      <c r="MC25" s="260"/>
      <c r="MD25" s="260"/>
      <c r="ME25" s="113">
        <v>4680</v>
      </c>
      <c r="MF25" s="114">
        <v>1603</v>
      </c>
      <c r="MG25" s="114">
        <f t="shared" si="424"/>
        <v>6283</v>
      </c>
      <c r="MH25" s="115"/>
      <c r="MI25" s="113">
        <v>4680</v>
      </c>
      <c r="MJ25" s="114">
        <v>1667</v>
      </c>
      <c r="MK25" s="114">
        <f t="shared" si="425"/>
        <v>6347</v>
      </c>
      <c r="ML25" s="115">
        <f>MK25-MG25</f>
        <v>64</v>
      </c>
      <c r="MM25" s="113">
        <v>4680</v>
      </c>
      <c r="MN25" s="114">
        <v>1667</v>
      </c>
      <c r="MO25" s="114">
        <f t="shared" si="426"/>
        <v>6347</v>
      </c>
      <c r="MP25" s="115">
        <f>MO25-MK25</f>
        <v>0</v>
      </c>
      <c r="MQ25" s="113">
        <v>4680</v>
      </c>
      <c r="MR25" s="114">
        <v>1667</v>
      </c>
      <c r="MS25" s="114">
        <f t="shared" si="427"/>
        <v>6347</v>
      </c>
      <c r="MT25" s="115">
        <f>MS25-MO25</f>
        <v>0</v>
      </c>
      <c r="MU25" s="113">
        <v>4680</v>
      </c>
      <c r="MV25" s="114">
        <v>1667</v>
      </c>
      <c r="MW25" s="114">
        <f t="shared" si="428"/>
        <v>6347</v>
      </c>
      <c r="MX25" s="115">
        <f>MW25-MS25</f>
        <v>0</v>
      </c>
      <c r="MY25" s="260"/>
      <c r="MZ25" s="260"/>
      <c r="NA25" s="260"/>
      <c r="NB25" s="260"/>
      <c r="NC25" s="260"/>
      <c r="ND25" s="260"/>
      <c r="NE25" s="260"/>
      <c r="NF25" s="260"/>
      <c r="NG25" s="113">
        <v>4680</v>
      </c>
      <c r="NH25" s="114">
        <v>1667</v>
      </c>
      <c r="NI25" s="114"/>
      <c r="NJ25" s="115"/>
      <c r="NK25" s="113">
        <v>4680</v>
      </c>
      <c r="NL25" s="114">
        <v>1667</v>
      </c>
      <c r="NM25" s="114"/>
      <c r="NN25" s="115"/>
      <c r="NO25" s="113">
        <v>4680</v>
      </c>
      <c r="NP25" s="114">
        <v>1667</v>
      </c>
      <c r="NQ25" s="114">
        <f t="shared" si="92"/>
        <v>6347</v>
      </c>
      <c r="NR25" s="115"/>
      <c r="NS25" s="113">
        <v>4680</v>
      </c>
      <c r="NT25" s="114">
        <v>1667</v>
      </c>
      <c r="NU25" s="114">
        <f t="shared" si="93"/>
        <v>6347</v>
      </c>
      <c r="NV25" s="115"/>
      <c r="NW25" s="260"/>
      <c r="NX25" s="260"/>
      <c r="NY25" s="260"/>
      <c r="NZ25" s="260"/>
      <c r="OA25" s="113">
        <v>4680</v>
      </c>
      <c r="OB25" s="114">
        <v>1667</v>
      </c>
      <c r="OC25" s="114">
        <f t="shared" si="94"/>
        <v>6347</v>
      </c>
      <c r="OD25" s="115"/>
      <c r="OE25" s="260"/>
      <c r="OF25" s="260"/>
      <c r="OG25" s="260"/>
      <c r="OH25" s="260"/>
      <c r="OI25" s="113">
        <v>4680</v>
      </c>
      <c r="OJ25" s="114">
        <v>1667</v>
      </c>
      <c r="OK25" s="114">
        <v>6347</v>
      </c>
      <c r="OL25" s="115"/>
      <c r="OM25" s="113">
        <v>4680</v>
      </c>
      <c r="ON25" s="114">
        <v>1667</v>
      </c>
      <c r="OO25" s="114">
        <v>6347</v>
      </c>
      <c r="OP25" s="115"/>
      <c r="OQ25" s="113">
        <v>4680</v>
      </c>
      <c r="OR25" s="114">
        <v>1667</v>
      </c>
      <c r="OS25" s="114">
        <v>6347</v>
      </c>
      <c r="OT25" s="115"/>
      <c r="OU25" s="113">
        <v>4680</v>
      </c>
      <c r="OV25" s="114">
        <v>1859</v>
      </c>
      <c r="OW25" s="114">
        <v>6539</v>
      </c>
      <c r="OX25" s="115"/>
      <c r="OY25" s="113">
        <v>4680</v>
      </c>
      <c r="OZ25" s="114">
        <v>1859</v>
      </c>
      <c r="PA25" s="114">
        <v>6539</v>
      </c>
      <c r="PB25" s="115"/>
      <c r="PC25" s="113">
        <v>4680</v>
      </c>
      <c r="PD25" s="114">
        <v>1859</v>
      </c>
      <c r="PE25" s="114">
        <v>6539</v>
      </c>
      <c r="PF25" s="115"/>
      <c r="PG25" s="113"/>
      <c r="PH25" s="114"/>
      <c r="PI25" s="114"/>
      <c r="PJ25" s="115"/>
      <c r="PK25" s="113">
        <v>4680</v>
      </c>
      <c r="PL25" s="114">
        <v>1859</v>
      </c>
      <c r="PM25" s="114">
        <v>6539</v>
      </c>
      <c r="PN25" s="115"/>
      <c r="PP25" s="113">
        <v>4680</v>
      </c>
      <c r="PQ25" s="114">
        <v>2179</v>
      </c>
      <c r="PR25" s="114">
        <v>6859</v>
      </c>
      <c r="PS25" s="115"/>
      <c r="PT25" s="113">
        <v>4680</v>
      </c>
      <c r="PU25" s="114">
        <v>2179</v>
      </c>
      <c r="PV25" s="114">
        <v>6859</v>
      </c>
      <c r="PW25" s="115"/>
      <c r="PX25" s="113">
        <v>4680</v>
      </c>
      <c r="PY25" s="114">
        <v>2179</v>
      </c>
      <c r="PZ25" s="114">
        <v>6859</v>
      </c>
      <c r="QA25" s="115"/>
      <c r="QB25" s="113">
        <v>4680</v>
      </c>
      <c r="QC25" s="114">
        <v>2179</v>
      </c>
      <c r="QD25" s="114">
        <v>6859</v>
      </c>
      <c r="QE25" s="115"/>
      <c r="QF25" s="113">
        <v>4680</v>
      </c>
      <c r="QG25" s="114">
        <v>2179</v>
      </c>
      <c r="QH25" s="114">
        <v>6859</v>
      </c>
      <c r="QI25" s="115"/>
      <c r="QJ25" s="290"/>
      <c r="QK25" s="290"/>
      <c r="QL25" s="290"/>
      <c r="QM25" s="290"/>
      <c r="QN25" s="113">
        <v>4680</v>
      </c>
      <c r="QO25" s="114">
        <v>2563</v>
      </c>
      <c r="QP25" s="114">
        <v>7243</v>
      </c>
      <c r="QQ25" s="115"/>
      <c r="QR25" s="113">
        <v>4680</v>
      </c>
      <c r="QS25" s="114">
        <v>2563</v>
      </c>
      <c r="QT25" s="114">
        <v>7243</v>
      </c>
      <c r="QU25" s="115"/>
      <c r="QV25" s="113">
        <v>4680</v>
      </c>
      <c r="QW25" s="114">
        <v>2563</v>
      </c>
      <c r="QX25" s="114">
        <v>7243</v>
      </c>
      <c r="QY25" s="115"/>
      <c r="QZ25" s="113">
        <v>4680</v>
      </c>
      <c r="RA25" s="114">
        <v>2563</v>
      </c>
      <c r="RB25" s="114">
        <v>7243</v>
      </c>
      <c r="RC25" s="115"/>
      <c r="RD25" s="113">
        <v>4680</v>
      </c>
      <c r="RE25" s="114">
        <v>2563</v>
      </c>
      <c r="RF25" s="114">
        <v>7243</v>
      </c>
      <c r="RG25" s="115"/>
      <c r="RH25" s="113">
        <v>4680</v>
      </c>
      <c r="RI25" s="114">
        <v>2563</v>
      </c>
      <c r="RJ25" s="114">
        <v>7243</v>
      </c>
      <c r="RK25" s="115"/>
      <c r="RL25" s="240"/>
      <c r="RM25" s="240"/>
      <c r="RN25" s="240"/>
      <c r="RO25" s="240"/>
      <c r="RP25" s="113">
        <v>4680</v>
      </c>
      <c r="RQ25" s="114">
        <v>2563</v>
      </c>
      <c r="RR25" s="114">
        <v>7243</v>
      </c>
      <c r="RS25" s="115"/>
      <c r="RT25" s="113">
        <v>4680</v>
      </c>
      <c r="RU25" s="114">
        <v>2563</v>
      </c>
      <c r="RV25" s="114">
        <v>7243</v>
      </c>
      <c r="RW25" s="115"/>
      <c r="RX25" s="113">
        <v>4680</v>
      </c>
      <c r="RY25" s="114">
        <v>2883</v>
      </c>
      <c r="RZ25" s="114">
        <v>7563</v>
      </c>
      <c r="SA25" s="115"/>
    </row>
    <row r="26" spans="1:495" x14ac:dyDescent="0.3">
      <c r="A26" s="292">
        <v>21</v>
      </c>
      <c r="B26" s="4" t="s">
        <v>59</v>
      </c>
      <c r="C26" s="6" t="s">
        <v>60</v>
      </c>
      <c r="D26" s="283"/>
      <c r="E26" s="14">
        <v>45579</v>
      </c>
      <c r="F26" s="192"/>
      <c r="G26" s="35">
        <v>46347</v>
      </c>
      <c r="H26" s="43">
        <v>46667</v>
      </c>
      <c r="I26" s="44">
        <f t="shared" si="0"/>
        <v>320</v>
      </c>
      <c r="J26" s="43">
        <v>47051</v>
      </c>
      <c r="K26" s="44">
        <f t="shared" si="95"/>
        <v>384</v>
      </c>
      <c r="L26" s="43">
        <v>47563</v>
      </c>
      <c r="M26" s="44">
        <f>L26-J26</f>
        <v>512</v>
      </c>
      <c r="N26" s="43">
        <f>328+47491</f>
        <v>47819</v>
      </c>
      <c r="O26" s="44">
        <f>N26-L26</f>
        <v>256</v>
      </c>
      <c r="P26" s="43">
        <f>328+47875</f>
        <v>48203</v>
      </c>
      <c r="Q26" s="44">
        <f>P26-N26</f>
        <v>384</v>
      </c>
      <c r="R26" s="232"/>
      <c r="S26" s="233"/>
      <c r="T26" s="74">
        <f>328+48707</f>
        <v>49035</v>
      </c>
      <c r="U26" s="35">
        <f>T26-P26</f>
        <v>832</v>
      </c>
      <c r="V26" s="43">
        <f>328+49027</f>
        <v>49355</v>
      </c>
      <c r="W26" s="44">
        <f>V26-T26</f>
        <v>320</v>
      </c>
      <c r="X26" s="38">
        <f>328+49475</f>
        <v>49803</v>
      </c>
      <c r="Y26" s="13">
        <f>X26-V26</f>
        <v>448</v>
      </c>
      <c r="Z26" s="13">
        <f>328+49859</f>
        <v>50187</v>
      </c>
      <c r="AA26" s="35">
        <f>Z26-X26</f>
        <v>384</v>
      </c>
      <c r="AB26" s="43">
        <f>328+323</f>
        <v>651</v>
      </c>
      <c r="AC26" s="44">
        <f>AB26-Z26</f>
        <v>-49536</v>
      </c>
      <c r="AD26" s="38">
        <f>328+643</f>
        <v>971</v>
      </c>
      <c r="AE26" s="13">
        <f>AD26-AB26</f>
        <v>320</v>
      </c>
      <c r="AF26" s="232"/>
      <c r="AG26" s="233"/>
      <c r="AH26" s="14">
        <f>328+323</f>
        <v>651</v>
      </c>
      <c r="AI26" s="13">
        <f>AH26-AD26</f>
        <v>-320</v>
      </c>
      <c r="AJ26" s="14">
        <f>328+643</f>
        <v>971</v>
      </c>
      <c r="AK26" s="13">
        <f>AJ26-AH26</f>
        <v>320</v>
      </c>
      <c r="AL26" s="232"/>
      <c r="AM26" s="233"/>
      <c r="AN26" s="232"/>
      <c r="AO26" s="233"/>
      <c r="AP26" s="14">
        <f>328+1987</f>
        <v>2315</v>
      </c>
      <c r="AQ26" s="13"/>
      <c r="AR26" s="14">
        <f>328+2435</f>
        <v>2763</v>
      </c>
      <c r="AS26" s="13">
        <f>AR26-AP26</f>
        <v>448</v>
      </c>
      <c r="AT26" s="285"/>
      <c r="AU26" s="285"/>
      <c r="AV26" s="14">
        <f>328+323</f>
        <v>651</v>
      </c>
      <c r="AW26" s="13">
        <f>AV26-AR26</f>
        <v>-2112</v>
      </c>
      <c r="AX26" s="14">
        <f>328+707</f>
        <v>1035</v>
      </c>
      <c r="AY26" s="13">
        <f>AX26-AV26</f>
        <v>384</v>
      </c>
      <c r="AZ26" s="14">
        <f>328+1091</f>
        <v>1419</v>
      </c>
      <c r="BA26" s="13">
        <f>AZ26-AX26</f>
        <v>384</v>
      </c>
      <c r="BB26" s="14">
        <f>328+1347</f>
        <v>1675</v>
      </c>
      <c r="BC26" s="13">
        <f>BB26-AZ26</f>
        <v>256</v>
      </c>
      <c r="BD26" s="14">
        <f>328+1347</f>
        <v>1675</v>
      </c>
      <c r="BE26" s="13">
        <f>BD26-BB26</f>
        <v>0</v>
      </c>
      <c r="BF26" s="14">
        <f>328+1603</f>
        <v>1931</v>
      </c>
      <c r="BG26" s="13">
        <f>BF26-BD26</f>
        <v>256</v>
      </c>
      <c r="BH26" s="269"/>
      <c r="BI26" s="269"/>
      <c r="BJ26" s="18"/>
      <c r="BK26" s="118">
        <v>328</v>
      </c>
      <c r="BL26" s="119">
        <v>259</v>
      </c>
      <c r="BM26" s="119">
        <f>BK26+BL26</f>
        <v>587</v>
      </c>
      <c r="BN26" s="120"/>
      <c r="BO26" s="118">
        <v>328</v>
      </c>
      <c r="BP26" s="119">
        <v>643</v>
      </c>
      <c r="BQ26" s="119">
        <f>BO26+BP26</f>
        <v>971</v>
      </c>
      <c r="BR26" s="120">
        <f>BQ26-BM26</f>
        <v>384</v>
      </c>
      <c r="BS26" s="118">
        <v>328</v>
      </c>
      <c r="BT26" s="119">
        <v>1027</v>
      </c>
      <c r="BU26" s="119">
        <f>BS26+BT26</f>
        <v>1355</v>
      </c>
      <c r="BV26" s="120">
        <f>BU26-BQ26</f>
        <v>384</v>
      </c>
      <c r="BW26" s="118">
        <v>328</v>
      </c>
      <c r="BX26" s="119">
        <v>1475</v>
      </c>
      <c r="BY26" s="119">
        <f>BW26+BX26</f>
        <v>1803</v>
      </c>
      <c r="BZ26" s="120">
        <f>BY26-BU26</f>
        <v>448</v>
      </c>
      <c r="CA26" s="118">
        <v>328</v>
      </c>
      <c r="CB26" s="119">
        <v>1859</v>
      </c>
      <c r="CC26" s="119">
        <f t="shared" si="363"/>
        <v>2187</v>
      </c>
      <c r="CD26" s="120">
        <f>CC26-BY26</f>
        <v>384</v>
      </c>
      <c r="CE26" s="118">
        <v>328</v>
      </c>
      <c r="CF26" s="119">
        <v>2307</v>
      </c>
      <c r="CG26" s="119">
        <f t="shared" ref="CG26" si="444">CE26+CF26</f>
        <v>2635</v>
      </c>
      <c r="CH26" s="120">
        <f>CG26-CC26</f>
        <v>448</v>
      </c>
      <c r="CI26" s="254"/>
      <c r="CJ26" s="240"/>
      <c r="CK26" s="240"/>
      <c r="CL26" s="255"/>
      <c r="CM26" s="118">
        <v>328</v>
      </c>
      <c r="CN26" s="119">
        <v>195</v>
      </c>
      <c r="CO26" s="119">
        <f t="shared" ref="CO26" si="445">CM26+CN26</f>
        <v>523</v>
      </c>
      <c r="CP26" s="120">
        <f>CO26-CG26</f>
        <v>-2112</v>
      </c>
      <c r="CQ26" s="118">
        <v>328</v>
      </c>
      <c r="CR26" s="119">
        <v>579</v>
      </c>
      <c r="CS26" s="119">
        <f t="shared" ref="CS26" si="446">CQ26+CR26</f>
        <v>907</v>
      </c>
      <c r="CT26" s="121">
        <f>CS26-CO26</f>
        <v>384</v>
      </c>
      <c r="CU26" s="118">
        <v>328</v>
      </c>
      <c r="CV26" s="119">
        <v>1027</v>
      </c>
      <c r="CW26" s="119">
        <f t="shared" ref="CW26" si="447">CU26+CV26</f>
        <v>1355</v>
      </c>
      <c r="CX26" s="121">
        <f>CW26-CS26</f>
        <v>448</v>
      </c>
      <c r="CY26" s="118">
        <v>328</v>
      </c>
      <c r="CZ26" s="119">
        <v>1539</v>
      </c>
      <c r="DA26" s="119">
        <f t="shared" ref="DA26" si="448">CY26+CZ26</f>
        <v>1867</v>
      </c>
      <c r="DB26" s="121">
        <f t="shared" si="369"/>
        <v>512</v>
      </c>
      <c r="DC26" s="118">
        <v>328</v>
      </c>
      <c r="DD26" s="119">
        <v>1859</v>
      </c>
      <c r="DE26" s="119">
        <f t="shared" si="370"/>
        <v>2187</v>
      </c>
      <c r="DF26" s="121">
        <f t="shared" si="371"/>
        <v>320</v>
      </c>
      <c r="DG26" s="254"/>
      <c r="DH26" s="240"/>
      <c r="DI26" s="240"/>
      <c r="DJ26" s="240"/>
      <c r="DK26" s="254"/>
      <c r="DL26" s="240"/>
      <c r="DM26" s="240"/>
      <c r="DN26" s="240"/>
      <c r="DO26" s="118">
        <v>328</v>
      </c>
      <c r="DP26" s="119">
        <v>323</v>
      </c>
      <c r="DQ26" s="119">
        <f t="shared" si="429"/>
        <v>651</v>
      </c>
      <c r="DR26" s="120"/>
      <c r="DS26" s="118">
        <v>328</v>
      </c>
      <c r="DT26" s="119">
        <v>771</v>
      </c>
      <c r="DU26" s="119">
        <f t="shared" si="373"/>
        <v>1099</v>
      </c>
      <c r="DV26" s="120">
        <f t="shared" si="374"/>
        <v>448</v>
      </c>
      <c r="DW26" s="118">
        <v>328</v>
      </c>
      <c r="DX26" s="119">
        <v>1155</v>
      </c>
      <c r="DY26" s="119">
        <f t="shared" ref="DY26" si="449">DW26+DX26</f>
        <v>1483</v>
      </c>
      <c r="DZ26" s="120">
        <f t="shared" ref="DZ26" si="450">DY26-DU26</f>
        <v>384</v>
      </c>
      <c r="EA26" s="118">
        <v>328</v>
      </c>
      <c r="EB26" s="119">
        <v>1539</v>
      </c>
      <c r="EC26" s="119">
        <f t="shared" ref="EC26" si="451">EA26+EB26</f>
        <v>1867</v>
      </c>
      <c r="ED26" s="120">
        <f t="shared" ref="ED26" si="452">EC26-DY26</f>
        <v>384</v>
      </c>
      <c r="EE26" s="118">
        <v>328</v>
      </c>
      <c r="EF26" s="119">
        <v>2051</v>
      </c>
      <c r="EG26" s="119">
        <f t="shared" si="379"/>
        <v>2379</v>
      </c>
      <c r="EH26" s="120">
        <f t="shared" si="380"/>
        <v>512</v>
      </c>
      <c r="EI26" s="118">
        <v>328</v>
      </c>
      <c r="EJ26" s="119">
        <v>2627</v>
      </c>
      <c r="EK26" s="119">
        <f t="shared" si="381"/>
        <v>2955</v>
      </c>
      <c r="EL26" s="120">
        <f t="shared" si="382"/>
        <v>576</v>
      </c>
      <c r="EM26" s="271"/>
      <c r="EN26" s="271"/>
      <c r="EO26" s="118">
        <v>328</v>
      </c>
      <c r="EP26" s="119">
        <v>387</v>
      </c>
      <c r="EQ26" s="119">
        <f t="shared" ref="EQ26" si="453">EO26+EP26</f>
        <v>715</v>
      </c>
      <c r="ER26" s="121">
        <f t="shared" si="430"/>
        <v>-2240</v>
      </c>
      <c r="ES26" s="118">
        <v>328</v>
      </c>
      <c r="ET26" s="119">
        <v>1859</v>
      </c>
      <c r="EU26" s="119">
        <f t="shared" si="384"/>
        <v>2187</v>
      </c>
      <c r="EV26" s="121">
        <f t="shared" ref="EV26" si="454">EU26-EO26</f>
        <v>1859</v>
      </c>
      <c r="EW26" s="260"/>
      <c r="EX26" s="260"/>
      <c r="EY26" s="260"/>
      <c r="EZ26" s="260"/>
      <c r="FA26" s="14">
        <v>328</v>
      </c>
      <c r="FB26" s="13">
        <v>1731</v>
      </c>
      <c r="FC26" s="119">
        <f t="shared" si="432"/>
        <v>2059</v>
      </c>
      <c r="FD26" s="13"/>
      <c r="FE26" s="14">
        <v>328</v>
      </c>
      <c r="FF26" s="13">
        <v>2115</v>
      </c>
      <c r="FG26" s="119">
        <f t="shared" si="435"/>
        <v>2443</v>
      </c>
      <c r="FH26" s="13">
        <f t="shared" si="387"/>
        <v>384</v>
      </c>
      <c r="FI26" s="14">
        <v>328</v>
      </c>
      <c r="FJ26" s="13">
        <v>2563</v>
      </c>
      <c r="FK26" s="119">
        <f t="shared" si="388"/>
        <v>2891</v>
      </c>
      <c r="FL26" s="13">
        <f t="shared" si="389"/>
        <v>448</v>
      </c>
      <c r="FM26" s="260"/>
      <c r="FN26" s="260"/>
      <c r="FO26" s="260"/>
      <c r="FP26" s="260"/>
      <c r="FQ26" s="14"/>
      <c r="FR26" s="13"/>
      <c r="FS26" s="14"/>
      <c r="FT26" s="13"/>
      <c r="FU26" s="14">
        <v>328</v>
      </c>
      <c r="FV26" s="13">
        <v>1027</v>
      </c>
      <c r="FW26" s="119">
        <f t="shared" ref="FW26" si="455">FU26+FV26</f>
        <v>1355</v>
      </c>
      <c r="FX26" s="13"/>
      <c r="FZ26" s="118"/>
      <c r="GA26" s="119"/>
      <c r="GB26" s="119"/>
      <c r="GC26" s="120"/>
      <c r="GD26" s="260"/>
      <c r="GE26" s="260"/>
      <c r="GF26" s="260"/>
      <c r="GG26" s="260"/>
      <c r="GH26" s="14">
        <v>328</v>
      </c>
      <c r="GI26" s="13">
        <v>2243</v>
      </c>
      <c r="GJ26" s="119">
        <f t="shared" si="391"/>
        <v>2571</v>
      </c>
      <c r="GK26" s="120"/>
      <c r="GL26" s="14">
        <v>328</v>
      </c>
      <c r="GM26" s="13">
        <v>2691</v>
      </c>
      <c r="GN26" s="119">
        <f t="shared" si="392"/>
        <v>3019</v>
      </c>
      <c r="GO26" s="120">
        <f t="shared" si="436"/>
        <v>448</v>
      </c>
      <c r="GP26" s="260"/>
      <c r="GQ26" s="260"/>
      <c r="GR26" s="260"/>
      <c r="GS26" s="260"/>
      <c r="GT26" s="14">
        <v>328</v>
      </c>
      <c r="GU26" s="13">
        <v>387</v>
      </c>
      <c r="GV26" s="119">
        <f t="shared" si="394"/>
        <v>715</v>
      </c>
      <c r="GW26" s="120"/>
      <c r="GX26" s="14">
        <v>328</v>
      </c>
      <c r="GY26" s="13">
        <v>835</v>
      </c>
      <c r="GZ26" s="119">
        <f t="shared" si="395"/>
        <v>1163</v>
      </c>
      <c r="HA26" s="120">
        <f t="shared" si="437"/>
        <v>448</v>
      </c>
      <c r="HB26" s="14">
        <v>328</v>
      </c>
      <c r="HC26" s="13">
        <v>1155</v>
      </c>
      <c r="HD26" s="119">
        <f t="shared" si="397"/>
        <v>1483</v>
      </c>
      <c r="HE26" s="120">
        <f t="shared" si="438"/>
        <v>320</v>
      </c>
      <c r="HF26" s="14">
        <v>328</v>
      </c>
      <c r="HG26" s="13">
        <v>1539</v>
      </c>
      <c r="HH26" s="119">
        <f t="shared" si="399"/>
        <v>1867</v>
      </c>
      <c r="HI26" s="120">
        <f t="shared" si="439"/>
        <v>384</v>
      </c>
      <c r="HJ26" s="14">
        <v>328</v>
      </c>
      <c r="HK26" s="13">
        <v>1987</v>
      </c>
      <c r="HL26" s="119">
        <f t="shared" si="401"/>
        <v>2315</v>
      </c>
      <c r="HM26" s="120">
        <f t="shared" si="440"/>
        <v>448</v>
      </c>
      <c r="HN26" s="14">
        <v>328</v>
      </c>
      <c r="HO26" s="13">
        <v>2371</v>
      </c>
      <c r="HP26" s="119">
        <f t="shared" si="403"/>
        <v>2699</v>
      </c>
      <c r="HQ26" s="120">
        <f t="shared" si="441"/>
        <v>384</v>
      </c>
      <c r="HR26" s="254"/>
      <c r="HS26" s="240"/>
      <c r="HT26" s="240"/>
      <c r="HU26" s="255"/>
      <c r="HV26" s="14">
        <v>328</v>
      </c>
      <c r="HW26" s="13">
        <v>451</v>
      </c>
      <c r="HX26" s="119">
        <f t="shared" si="405"/>
        <v>779</v>
      </c>
      <c r="HY26" s="120"/>
      <c r="HZ26" s="14">
        <v>328</v>
      </c>
      <c r="IA26" s="13">
        <v>451</v>
      </c>
      <c r="IB26" s="119">
        <f t="shared" si="406"/>
        <v>779</v>
      </c>
      <c r="IC26" s="120">
        <f t="shared" ref="IC26" si="456">IB26-HX26</f>
        <v>0</v>
      </c>
      <c r="ID26" s="14">
        <v>328</v>
      </c>
      <c r="IE26" s="13">
        <v>1283</v>
      </c>
      <c r="IF26" s="119">
        <f t="shared" si="408"/>
        <v>1611</v>
      </c>
      <c r="IG26" s="120">
        <f t="shared" ref="IG26" si="457">IF26-IB26</f>
        <v>832</v>
      </c>
      <c r="IH26" s="14">
        <v>328</v>
      </c>
      <c r="II26" s="13">
        <v>1667</v>
      </c>
      <c r="IJ26" s="119">
        <f t="shared" si="409"/>
        <v>1995</v>
      </c>
      <c r="IK26" s="120">
        <f t="shared" ref="IK26" si="458">IJ26-IF26</f>
        <v>384</v>
      </c>
      <c r="IL26" s="14">
        <v>328</v>
      </c>
      <c r="IM26" s="13">
        <v>2115</v>
      </c>
      <c r="IN26" s="119">
        <f t="shared" si="410"/>
        <v>2443</v>
      </c>
      <c r="IO26" s="120">
        <f t="shared" ref="IO26" si="459">IN26-IJ26</f>
        <v>448</v>
      </c>
      <c r="IP26" s="254"/>
      <c r="IQ26" s="240"/>
      <c r="IR26" s="240"/>
      <c r="IS26" s="255"/>
      <c r="IT26" s="254"/>
      <c r="IU26" s="240"/>
      <c r="IV26" s="240"/>
      <c r="IW26" s="255"/>
      <c r="IX26" s="14">
        <v>328</v>
      </c>
      <c r="IY26" s="13">
        <v>387</v>
      </c>
      <c r="IZ26" s="119">
        <f t="shared" si="411"/>
        <v>715</v>
      </c>
      <c r="JA26" s="120"/>
      <c r="JB26" s="14">
        <v>328</v>
      </c>
      <c r="JC26" s="13">
        <v>835</v>
      </c>
      <c r="JD26" s="119">
        <f t="shared" si="412"/>
        <v>1163</v>
      </c>
      <c r="JE26" s="120">
        <f t="shared" ref="JE26" si="460">JD26-IZ26</f>
        <v>448</v>
      </c>
      <c r="JF26" s="14">
        <v>328</v>
      </c>
      <c r="JG26" s="13">
        <v>835</v>
      </c>
      <c r="JH26" s="119">
        <f t="shared" si="413"/>
        <v>1163</v>
      </c>
      <c r="JI26" s="120">
        <f t="shared" ref="JI26" si="461">JH26-JD26</f>
        <v>0</v>
      </c>
      <c r="JJ26" s="14">
        <v>328</v>
      </c>
      <c r="JK26" s="13">
        <v>1731</v>
      </c>
      <c r="JL26" s="119">
        <f t="shared" si="414"/>
        <v>2059</v>
      </c>
      <c r="JM26" s="120">
        <f t="shared" ref="JM26" si="462">JL26-JH26</f>
        <v>896</v>
      </c>
      <c r="JN26" s="14">
        <v>328</v>
      </c>
      <c r="JO26" s="13">
        <v>2051</v>
      </c>
      <c r="JP26" s="119">
        <f t="shared" si="415"/>
        <v>2379</v>
      </c>
      <c r="JQ26" s="120">
        <f t="shared" ref="JQ26" si="463">JP26-JL26</f>
        <v>320</v>
      </c>
      <c r="JR26" s="14"/>
      <c r="JS26" s="13"/>
      <c r="JT26" s="119"/>
      <c r="JU26" s="120"/>
      <c r="JV26" s="254"/>
      <c r="JW26" s="240"/>
      <c r="JX26" s="240"/>
      <c r="JY26" s="255"/>
      <c r="JZ26" s="14">
        <v>328</v>
      </c>
      <c r="KA26" s="13">
        <v>387</v>
      </c>
      <c r="KB26" s="119">
        <f t="shared" si="416"/>
        <v>715</v>
      </c>
      <c r="KC26" s="120">
        <f t="shared" ref="KC26" si="464">KB26-JX26</f>
        <v>715</v>
      </c>
      <c r="KD26" s="14">
        <v>328</v>
      </c>
      <c r="KE26" s="13">
        <v>899</v>
      </c>
      <c r="KF26" s="119">
        <f t="shared" si="417"/>
        <v>1227</v>
      </c>
      <c r="KG26" s="120">
        <f t="shared" ref="KG26" si="465">KF26-KB26</f>
        <v>512</v>
      </c>
      <c r="KH26" s="14">
        <v>328</v>
      </c>
      <c r="KI26" s="13">
        <v>1283</v>
      </c>
      <c r="KJ26" s="119">
        <f t="shared" si="418"/>
        <v>1611</v>
      </c>
      <c r="KK26" s="120">
        <f t="shared" ref="KK26" si="466">KJ26-KF26</f>
        <v>384</v>
      </c>
      <c r="KL26" s="14">
        <v>328</v>
      </c>
      <c r="KM26" s="13">
        <v>1283</v>
      </c>
      <c r="KN26" s="119">
        <f t="shared" si="419"/>
        <v>1611</v>
      </c>
      <c r="KO26" s="120">
        <f t="shared" ref="KO26" si="467">KN26-KJ26</f>
        <v>0</v>
      </c>
      <c r="KP26" s="14">
        <v>328</v>
      </c>
      <c r="KQ26" s="13">
        <v>1283</v>
      </c>
      <c r="KR26" s="119">
        <f t="shared" si="420"/>
        <v>1611</v>
      </c>
      <c r="KS26" s="120">
        <f t="shared" ref="KS26" si="468">KR26-KN26</f>
        <v>0</v>
      </c>
      <c r="KU26" s="14">
        <v>328</v>
      </c>
      <c r="KV26" s="13">
        <v>1283</v>
      </c>
      <c r="KW26" s="119">
        <f t="shared" si="421"/>
        <v>1611</v>
      </c>
      <c r="KX26" s="120">
        <f t="shared" ref="KX26" si="469">KW26-KS26</f>
        <v>1611</v>
      </c>
      <c r="KY26" s="260"/>
      <c r="KZ26" s="260"/>
      <c r="LA26" s="260"/>
      <c r="LB26" s="260"/>
      <c r="LC26" s="260"/>
      <c r="LD26" s="260"/>
      <c r="LE26" s="260"/>
      <c r="LF26" s="260"/>
      <c r="LG26" s="14">
        <v>328</v>
      </c>
      <c r="LH26" s="13">
        <v>771</v>
      </c>
      <c r="LI26" s="119">
        <f t="shared" ref="LI26" si="470">LG26-LH26</f>
        <v>-443</v>
      </c>
      <c r="LJ26" s="120"/>
      <c r="LK26" s="14"/>
      <c r="LL26" s="13"/>
      <c r="LM26" s="119"/>
      <c r="LN26" s="120"/>
      <c r="LO26" s="260"/>
      <c r="LP26" s="260"/>
      <c r="LQ26" s="260"/>
      <c r="LR26" s="260"/>
      <c r="LS26" s="260"/>
      <c r="LT26" s="260"/>
      <c r="LU26" s="260"/>
      <c r="LV26" s="260"/>
      <c r="LW26" s="14">
        <v>328</v>
      </c>
      <c r="LX26" s="13">
        <v>2371</v>
      </c>
      <c r="LY26" s="119">
        <f t="shared" ref="LY26" si="471">LW26-LX26</f>
        <v>-2043</v>
      </c>
      <c r="LZ26" s="120"/>
      <c r="MA26" s="260"/>
      <c r="MB26" s="260"/>
      <c r="MC26" s="260"/>
      <c r="MD26" s="260"/>
      <c r="ME26" s="14">
        <v>328</v>
      </c>
      <c r="MF26" s="13">
        <v>387</v>
      </c>
      <c r="MG26" s="119">
        <f t="shared" ref="MG26" si="472">ME26-MF26</f>
        <v>-59</v>
      </c>
      <c r="MH26" s="120"/>
      <c r="MI26" s="14">
        <v>328</v>
      </c>
      <c r="MJ26" s="13">
        <v>387</v>
      </c>
      <c r="MK26" s="119">
        <f t="shared" ref="MK26" si="473">MI26-MJ26</f>
        <v>-59</v>
      </c>
      <c r="ML26" s="120">
        <f t="shared" ref="ML26" si="474">MK26-MG26</f>
        <v>0</v>
      </c>
      <c r="MM26" s="14">
        <v>328</v>
      </c>
      <c r="MN26" s="13">
        <v>1219</v>
      </c>
      <c r="MO26" s="119">
        <f t="shared" ref="MO26" si="475">MM26-MN26</f>
        <v>-891</v>
      </c>
      <c r="MP26" s="120">
        <f t="shared" ref="MP26" si="476">MO26-MK26</f>
        <v>-832</v>
      </c>
      <c r="MQ26" s="14">
        <v>328</v>
      </c>
      <c r="MR26" s="13">
        <v>1219</v>
      </c>
      <c r="MS26" s="119">
        <f t="shared" ref="MS26" si="477">MQ26-MR26</f>
        <v>-891</v>
      </c>
      <c r="MT26" s="120">
        <f t="shared" ref="MT26" si="478">MS26-MO26</f>
        <v>0</v>
      </c>
      <c r="MU26" s="14">
        <v>328</v>
      </c>
      <c r="MV26" s="13">
        <v>1219</v>
      </c>
      <c r="MW26" s="119">
        <f t="shared" ref="MW26" si="479">MU26-MV26</f>
        <v>-891</v>
      </c>
      <c r="MX26" s="120">
        <f t="shared" ref="MX26" si="480">MW26-MS26</f>
        <v>0</v>
      </c>
      <c r="MY26" s="260"/>
      <c r="MZ26" s="260"/>
      <c r="NA26" s="260"/>
      <c r="NB26" s="260"/>
      <c r="NC26" s="260"/>
      <c r="ND26" s="260"/>
      <c r="NE26" s="260"/>
      <c r="NF26" s="260"/>
      <c r="NG26" s="14">
        <v>328</v>
      </c>
      <c r="NH26" s="13">
        <v>387</v>
      </c>
      <c r="NI26" s="119"/>
      <c r="NJ26" s="120"/>
      <c r="NK26" s="14">
        <v>328</v>
      </c>
      <c r="NL26" s="13">
        <v>387</v>
      </c>
      <c r="NM26" s="119"/>
      <c r="NN26" s="120"/>
      <c r="NO26" s="14">
        <v>328</v>
      </c>
      <c r="NP26" s="13">
        <v>1283</v>
      </c>
      <c r="NQ26" s="157">
        <f t="shared" si="92"/>
        <v>1611</v>
      </c>
      <c r="NR26" s="120"/>
      <c r="NS26" s="14">
        <v>328</v>
      </c>
      <c r="NT26" s="13">
        <v>1283</v>
      </c>
      <c r="NU26" s="157">
        <f t="shared" si="93"/>
        <v>1611</v>
      </c>
      <c r="NV26" s="120"/>
      <c r="NW26" s="260"/>
      <c r="NX26" s="260"/>
      <c r="NY26" s="260"/>
      <c r="NZ26" s="260"/>
      <c r="OA26" s="14">
        <v>328</v>
      </c>
      <c r="OB26" s="13">
        <v>1283</v>
      </c>
      <c r="OC26" s="157">
        <f t="shared" si="94"/>
        <v>1611</v>
      </c>
      <c r="OD26" s="120"/>
      <c r="OE26" s="260"/>
      <c r="OF26" s="260"/>
      <c r="OG26" s="260"/>
      <c r="OH26" s="260"/>
      <c r="OI26" s="14">
        <v>328</v>
      </c>
      <c r="OJ26" s="13">
        <v>451</v>
      </c>
      <c r="OK26" s="119">
        <v>779</v>
      </c>
      <c r="OL26" s="120"/>
      <c r="OM26" s="14">
        <v>328</v>
      </c>
      <c r="ON26" s="13">
        <v>451</v>
      </c>
      <c r="OO26" s="119">
        <v>779</v>
      </c>
      <c r="OP26" s="120"/>
      <c r="OQ26" s="14">
        <v>328</v>
      </c>
      <c r="OR26" s="13">
        <v>451</v>
      </c>
      <c r="OS26" s="119">
        <v>779</v>
      </c>
      <c r="OT26" s="120"/>
      <c r="OU26" s="14">
        <v>328</v>
      </c>
      <c r="OV26" s="13">
        <v>1859</v>
      </c>
      <c r="OW26" s="119">
        <v>2187</v>
      </c>
      <c r="OX26" s="120"/>
      <c r="OY26" s="14">
        <v>328</v>
      </c>
      <c r="OZ26" s="13">
        <v>1859</v>
      </c>
      <c r="PA26" s="119">
        <v>2187</v>
      </c>
      <c r="PB26" s="120"/>
      <c r="PC26" s="14">
        <v>328</v>
      </c>
      <c r="PD26" s="13">
        <v>2819</v>
      </c>
      <c r="PE26" s="119">
        <v>3147</v>
      </c>
      <c r="PF26" s="120"/>
      <c r="PG26" s="14"/>
      <c r="PH26" s="13"/>
      <c r="PI26" s="119"/>
      <c r="PJ26" s="120"/>
      <c r="PK26" s="14">
        <v>328</v>
      </c>
      <c r="PL26" s="13">
        <v>2819</v>
      </c>
      <c r="PM26" s="119">
        <v>3147</v>
      </c>
      <c r="PN26" s="120"/>
      <c r="PP26" s="14"/>
      <c r="PQ26" s="13"/>
      <c r="PR26" s="119"/>
      <c r="PS26" s="120"/>
      <c r="PT26" s="14"/>
      <c r="PU26" s="13"/>
      <c r="PV26" s="119"/>
      <c r="PW26" s="120"/>
      <c r="PX26" s="14"/>
      <c r="PY26" s="13"/>
      <c r="PZ26" s="119"/>
      <c r="QA26" s="120"/>
      <c r="QB26" s="14"/>
      <c r="QC26" s="13"/>
      <c r="QD26" s="119"/>
      <c r="QE26" s="120"/>
      <c r="QF26" s="14">
        <v>328</v>
      </c>
      <c r="QG26" s="13">
        <v>2115</v>
      </c>
      <c r="QH26" s="119">
        <v>2443</v>
      </c>
      <c r="QI26" s="120"/>
      <c r="QJ26" s="290"/>
      <c r="QK26" s="290"/>
      <c r="QL26" s="290"/>
      <c r="QM26" s="290"/>
      <c r="QN26" s="14">
        <v>328</v>
      </c>
      <c r="QO26" s="13">
        <v>835</v>
      </c>
      <c r="QP26" s="119">
        <v>1163</v>
      </c>
      <c r="QQ26" s="120"/>
      <c r="QR26" s="14">
        <v>328</v>
      </c>
      <c r="QS26" s="13">
        <v>835</v>
      </c>
      <c r="QT26" s="119">
        <v>1163</v>
      </c>
      <c r="QU26" s="120"/>
      <c r="QV26" s="14">
        <v>328</v>
      </c>
      <c r="QW26" s="13">
        <v>835</v>
      </c>
      <c r="QX26" s="119">
        <v>1163</v>
      </c>
      <c r="QY26" s="120"/>
      <c r="QZ26" s="14">
        <v>328</v>
      </c>
      <c r="RA26" s="13">
        <v>835</v>
      </c>
      <c r="RB26" s="119">
        <v>1163</v>
      </c>
      <c r="RC26" s="120"/>
      <c r="RD26" s="14">
        <v>328</v>
      </c>
      <c r="RE26" s="13">
        <v>835</v>
      </c>
      <c r="RF26" s="119">
        <v>1163</v>
      </c>
      <c r="RG26" s="120"/>
      <c r="RH26" s="14">
        <v>328</v>
      </c>
      <c r="RI26" s="13">
        <v>835</v>
      </c>
      <c r="RJ26" s="119">
        <v>1163</v>
      </c>
      <c r="RK26" s="120"/>
      <c r="RL26" s="240"/>
      <c r="RM26" s="240"/>
      <c r="RN26" s="240"/>
      <c r="RO26" s="240"/>
      <c r="RP26" s="14">
        <v>328</v>
      </c>
      <c r="RQ26" s="13">
        <v>835</v>
      </c>
      <c r="RR26" s="119">
        <v>1163</v>
      </c>
      <c r="RS26" s="120"/>
      <c r="RT26" s="14">
        <v>328</v>
      </c>
      <c r="RU26" s="13">
        <v>835</v>
      </c>
      <c r="RV26" s="119">
        <v>1163</v>
      </c>
      <c r="RW26" s="120"/>
      <c r="RX26" s="14">
        <v>328</v>
      </c>
      <c r="RY26" s="13">
        <v>387</v>
      </c>
      <c r="RZ26" s="119">
        <v>715</v>
      </c>
      <c r="SA26" s="120"/>
    </row>
    <row r="27" spans="1:495" x14ac:dyDescent="0.3">
      <c r="FM27" s="260"/>
      <c r="FN27" s="260"/>
      <c r="FO27" s="260"/>
      <c r="FP27" s="260"/>
      <c r="GD27" s="260"/>
      <c r="GE27" s="260"/>
      <c r="GF27" s="260"/>
      <c r="GG27" s="260"/>
      <c r="GP27" s="260"/>
      <c r="GQ27" s="260"/>
      <c r="GR27" s="260"/>
      <c r="GS27" s="260"/>
      <c r="JF27" s="123"/>
      <c r="KY27" s="260"/>
      <c r="KZ27" s="260"/>
      <c r="LA27" s="260"/>
      <c r="LB27" s="260"/>
      <c r="LC27" s="260"/>
      <c r="LD27" s="260"/>
      <c r="LE27" s="260"/>
      <c r="LF27" s="260"/>
      <c r="LK27" s="151"/>
      <c r="LL27" s="151"/>
      <c r="LM27" s="151"/>
      <c r="LN27" s="151"/>
      <c r="LO27" s="260"/>
      <c r="LP27" s="260"/>
      <c r="LQ27" s="260"/>
      <c r="LR27" s="260"/>
      <c r="LS27" s="260"/>
      <c r="LT27" s="260"/>
      <c r="LU27" s="260"/>
      <c r="LV27" s="260"/>
      <c r="MA27" s="260"/>
      <c r="MB27" s="260"/>
      <c r="MC27" s="260"/>
      <c r="MD27" s="260"/>
      <c r="MY27" s="260"/>
      <c r="MZ27" s="260"/>
      <c r="NA27" s="260"/>
      <c r="NB27" s="260"/>
      <c r="NC27" s="260"/>
      <c r="ND27" s="260"/>
      <c r="NE27" s="260"/>
      <c r="NF27" s="260"/>
      <c r="NQ27" s="157">
        <f t="shared" si="92"/>
        <v>0</v>
      </c>
      <c r="NW27" s="260"/>
      <c r="NX27" s="260"/>
      <c r="NY27" s="260"/>
      <c r="NZ27" s="260"/>
      <c r="OA27" s="123"/>
      <c r="OE27" s="260"/>
      <c r="OF27" s="260"/>
      <c r="OG27" s="260"/>
      <c r="OH27" s="260"/>
    </row>
    <row r="28" spans="1:495" x14ac:dyDescent="0.3">
      <c r="CV28" s="123"/>
      <c r="HH28" s="123"/>
      <c r="HK28" s="123"/>
      <c r="MC28" s="123"/>
      <c r="MF28" s="123"/>
    </row>
    <row r="29" spans="1:495" x14ac:dyDescent="0.3">
      <c r="NS29" s="14"/>
      <c r="NT29" s="13"/>
      <c r="NU29" s="157"/>
    </row>
    <row r="30" spans="1:495" x14ac:dyDescent="0.3">
      <c r="NS30" s="14"/>
      <c r="NT30" s="13"/>
      <c r="NU30" s="157"/>
    </row>
  </sheetData>
  <mergeCells count="293">
    <mergeCell ref="QJ3:QM3"/>
    <mergeCell ref="QJ5:QM5"/>
    <mergeCell ref="QN3:QQ3"/>
    <mergeCell ref="QN5:QQ5"/>
    <mergeCell ref="QJ6:QM26"/>
    <mergeCell ref="PP3:PS3"/>
    <mergeCell ref="PP5:PS5"/>
    <mergeCell ref="PG5:PJ5"/>
    <mergeCell ref="PK5:PN5"/>
    <mergeCell ref="PT3:PW3"/>
    <mergeCell ref="PT5:PW5"/>
    <mergeCell ref="PX3:QA3"/>
    <mergeCell ref="PX5:QA5"/>
    <mergeCell ref="QB3:QE3"/>
    <mergeCell ref="QB5:QE5"/>
    <mergeCell ref="QF3:QI3"/>
    <mergeCell ref="QF5:QI5"/>
    <mergeCell ref="KY6:LB27"/>
    <mergeCell ref="LC6:LF27"/>
    <mergeCell ref="NW5:NZ5"/>
    <mergeCell ref="OA5:OD5"/>
    <mergeCell ref="OE5:OH5"/>
    <mergeCell ref="OI5:OL5"/>
    <mergeCell ref="OM5:OP5"/>
    <mergeCell ref="OQ5:OT5"/>
    <mergeCell ref="OU5:OX5"/>
    <mergeCell ref="NC5:NF5"/>
    <mergeCell ref="NG5:NJ5"/>
    <mergeCell ref="NS5:NV5"/>
    <mergeCell ref="OY5:PB5"/>
    <mergeCell ref="PC5:PF5"/>
    <mergeCell ref="LO6:LR27"/>
    <mergeCell ref="LS6:LV27"/>
    <mergeCell ref="MA6:MD27"/>
    <mergeCell ref="MY6:NB27"/>
    <mergeCell ref="NC6:NF27"/>
    <mergeCell ref="NO5:NR5"/>
    <mergeCell ref="NW6:NZ27"/>
    <mergeCell ref="OE6:OH27"/>
    <mergeCell ref="KU2:OL2"/>
    <mergeCell ref="KU3:KX3"/>
    <mergeCell ref="KY3:LB3"/>
    <mergeCell ref="LC3:LF3"/>
    <mergeCell ref="LG3:LJ3"/>
    <mergeCell ref="LK3:LN3"/>
    <mergeCell ref="LO3:LR3"/>
    <mergeCell ref="LS3:LV3"/>
    <mergeCell ref="LW3:LZ3"/>
    <mergeCell ref="MA3:MD3"/>
    <mergeCell ref="ME3:MH3"/>
    <mergeCell ref="MI3:ML3"/>
    <mergeCell ref="MM3:MP3"/>
    <mergeCell ref="MQ3:MT3"/>
    <mergeCell ref="MU3:MX3"/>
    <mergeCell ref="MY3:NB3"/>
    <mergeCell ref="NC3:NF3"/>
    <mergeCell ref="NG3:NJ3"/>
    <mergeCell ref="NK3:NN3"/>
    <mergeCell ref="NO3:NR3"/>
    <mergeCell ref="NS3:NV3"/>
    <mergeCell ref="NW3:NZ3"/>
    <mergeCell ref="OA3:OD3"/>
    <mergeCell ref="OE3:OH3"/>
    <mergeCell ref="KL3:KO3"/>
    <mergeCell ref="KL5:KO5"/>
    <mergeCell ref="BK2:EX2"/>
    <mergeCell ref="BD5:BE5"/>
    <mergeCell ref="AD3:AE3"/>
    <mergeCell ref="BF5:BG5"/>
    <mergeCell ref="BK3:BN3"/>
    <mergeCell ref="BO3:BR3"/>
    <mergeCell ref="BS3:BV3"/>
    <mergeCell ref="BW3:BZ3"/>
    <mergeCell ref="EO5:ER5"/>
    <mergeCell ref="ES3:EV3"/>
    <mergeCell ref="BH3:BI3"/>
    <mergeCell ref="DS5:DV5"/>
    <mergeCell ref="EO3:ER3"/>
    <mergeCell ref="DW5:DZ5"/>
    <mergeCell ref="BF3:BG3"/>
    <mergeCell ref="BK5:BN5"/>
    <mergeCell ref="BO5:BR5"/>
    <mergeCell ref="AR5:AS5"/>
    <mergeCell ref="CE5:CH5"/>
    <mergeCell ref="CI3:CL3"/>
    <mergeCell ref="CM3:CP3"/>
    <mergeCell ref="CE3:CH3"/>
    <mergeCell ref="ES5:ET5"/>
    <mergeCell ref="EW3:EZ3"/>
    <mergeCell ref="AZ3:BA3"/>
    <mergeCell ref="X3:Y3"/>
    <mergeCell ref="Z3:AA3"/>
    <mergeCell ref="AB3:AC3"/>
    <mergeCell ref="AB5:AC5"/>
    <mergeCell ref="AD5:AE5"/>
    <mergeCell ref="AH3:AI3"/>
    <mergeCell ref="AT3:AU3"/>
    <mergeCell ref="AF3:AG3"/>
    <mergeCell ref="EI5:EL5"/>
    <mergeCell ref="AJ3:AK3"/>
    <mergeCell ref="AL3:AM3"/>
    <mergeCell ref="AN3:AO3"/>
    <mergeCell ref="AP3:AQ3"/>
    <mergeCell ref="BW5:BZ5"/>
    <mergeCell ref="CI5:CL5"/>
    <mergeCell ref="CM5:CP5"/>
    <mergeCell ref="CQ5:CT5"/>
    <mergeCell ref="CA5:CD5"/>
    <mergeCell ref="CY3:DB3"/>
    <mergeCell ref="DC3:DF3"/>
    <mergeCell ref="DK3:DN3"/>
    <mergeCell ref="DG5:DJ5"/>
    <mergeCell ref="BS5:BV5"/>
    <mergeCell ref="D6:D26"/>
    <mergeCell ref="F6:F26"/>
    <mergeCell ref="T5:U5"/>
    <mergeCell ref="V5:W5"/>
    <mergeCell ref="X5:Y5"/>
    <mergeCell ref="AF6:AG26"/>
    <mergeCell ref="R6:S26"/>
    <mergeCell ref="AV5:AW5"/>
    <mergeCell ref="AT6:AU26"/>
    <mergeCell ref="AL6:AM26"/>
    <mergeCell ref="AN6:AO26"/>
    <mergeCell ref="AJ5:AK5"/>
    <mergeCell ref="AP5:AQ5"/>
    <mergeCell ref="CI6:CL26"/>
    <mergeCell ref="DG6:DJ26"/>
    <mergeCell ref="A2:A5"/>
    <mergeCell ref="L3:M3"/>
    <mergeCell ref="N3:O3"/>
    <mergeCell ref="P3:Q3"/>
    <mergeCell ref="R3:S3"/>
    <mergeCell ref="H5:I5"/>
    <mergeCell ref="J5:K5"/>
    <mergeCell ref="L5:M5"/>
    <mergeCell ref="N5:O5"/>
    <mergeCell ref="P5:Q5"/>
    <mergeCell ref="D2:BI2"/>
    <mergeCell ref="AV3:AW3"/>
    <mergeCell ref="AX3:AY3"/>
    <mergeCell ref="V3:W3"/>
    <mergeCell ref="B2:B3"/>
    <mergeCell ref="H3:I3"/>
    <mergeCell ref="AR3:AS3"/>
    <mergeCell ref="BB3:BC3"/>
    <mergeCell ref="BD3:BE3"/>
    <mergeCell ref="J3:K3"/>
    <mergeCell ref="T3:U3"/>
    <mergeCell ref="BB5:BC5"/>
    <mergeCell ref="AH5:AI5"/>
    <mergeCell ref="Z5:AA5"/>
    <mergeCell ref="DK6:DN26"/>
    <mergeCell ref="CA3:CD3"/>
    <mergeCell ref="CU3:CX3"/>
    <mergeCell ref="BH6:BI26"/>
    <mergeCell ref="AX5:AY5"/>
    <mergeCell ref="AZ5:BA5"/>
    <mergeCell ref="EM5:EN5"/>
    <mergeCell ref="DC5:DF5"/>
    <mergeCell ref="DK5:DN5"/>
    <mergeCell ref="DO5:DR5"/>
    <mergeCell ref="DO3:DR3"/>
    <mergeCell ref="DS3:DV3"/>
    <mergeCell ref="DW3:DZ3"/>
    <mergeCell ref="CQ3:CT3"/>
    <mergeCell ref="EM6:EN26"/>
    <mergeCell ref="DG3:DJ3"/>
    <mergeCell ref="EM3:EN3"/>
    <mergeCell ref="EA3:ED3"/>
    <mergeCell ref="EA5:ED5"/>
    <mergeCell ref="EE3:EH3"/>
    <mergeCell ref="EE5:EH5"/>
    <mergeCell ref="EI3:EL3"/>
    <mergeCell ref="CU5:CX5"/>
    <mergeCell ref="CY5:DB5"/>
    <mergeCell ref="FA3:FD3"/>
    <mergeCell ref="FE3:FH3"/>
    <mergeCell ref="FI3:FL3"/>
    <mergeCell ref="EW5:EZ26"/>
    <mergeCell ref="FE5:FH5"/>
    <mergeCell ref="FA5:FD5"/>
    <mergeCell ref="FI5:FL5"/>
    <mergeCell ref="FM6:FP27"/>
    <mergeCell ref="FU5:FX5"/>
    <mergeCell ref="FM3:FP3"/>
    <mergeCell ref="FM5:FN5"/>
    <mergeCell ref="FQ3:FT3"/>
    <mergeCell ref="FQ5:FR5"/>
    <mergeCell ref="FU3:FX3"/>
    <mergeCell ref="JB5:JE5"/>
    <mergeCell ref="IX5:JA5"/>
    <mergeCell ref="GP6:GS27"/>
    <mergeCell ref="GP5:GS5"/>
    <mergeCell ref="GT5:GW5"/>
    <mergeCell ref="FZ2:JQ2"/>
    <mergeCell ref="FZ3:GC3"/>
    <mergeCell ref="GD3:GG3"/>
    <mergeCell ref="GH3:GK3"/>
    <mergeCell ref="GL3:GO3"/>
    <mergeCell ref="GP3:GS3"/>
    <mergeCell ref="GT3:GW3"/>
    <mergeCell ref="GD6:GG27"/>
    <mergeCell ref="GL5:GO5"/>
    <mergeCell ref="GX3:HA3"/>
    <mergeCell ref="GX5:HA5"/>
    <mergeCell ref="HB3:HE3"/>
    <mergeCell ref="HB5:HE5"/>
    <mergeCell ref="GH5:GK5"/>
    <mergeCell ref="HJ5:HM5"/>
    <mergeCell ref="HN3:HQ3"/>
    <mergeCell ref="HR6:HU26"/>
    <mergeCell ref="HF3:HI3"/>
    <mergeCell ref="IH5:IK5"/>
    <mergeCell ref="HZ3:IC3"/>
    <mergeCell ref="HZ5:IC5"/>
    <mergeCell ref="HN5:HQ5"/>
    <mergeCell ref="IL5:IO5"/>
    <mergeCell ref="IL3:IO3"/>
    <mergeCell ref="HF5:HI5"/>
    <mergeCell ref="IH3:IK3"/>
    <mergeCell ref="ID3:IG3"/>
    <mergeCell ref="HR3:HU3"/>
    <mergeCell ref="HR5:HU5"/>
    <mergeCell ref="HV5:HY5"/>
    <mergeCell ref="HV3:HY3"/>
    <mergeCell ref="HJ3:HM3"/>
    <mergeCell ref="IP6:IS26"/>
    <mergeCell ref="IT6:IW26"/>
    <mergeCell ref="IP3:IS3"/>
    <mergeCell ref="IT3:IW3"/>
    <mergeCell ref="IX3:JA3"/>
    <mergeCell ref="ID5:IG5"/>
    <mergeCell ref="JF5:JI5"/>
    <mergeCell ref="KH3:KK3"/>
    <mergeCell ref="KH5:KK5"/>
    <mergeCell ref="JR3:JU3"/>
    <mergeCell ref="JR5:JU5"/>
    <mergeCell ref="JV3:JY3"/>
    <mergeCell ref="JV5:JY5"/>
    <mergeCell ref="JZ3:KC3"/>
    <mergeCell ref="JZ5:KC5"/>
    <mergeCell ref="JV6:JY26"/>
    <mergeCell ref="KD3:KG3"/>
    <mergeCell ref="KD5:KG5"/>
    <mergeCell ref="JN3:JQ3"/>
    <mergeCell ref="JN5:JQ5"/>
    <mergeCell ref="JJ5:JM5"/>
    <mergeCell ref="JF3:JI3"/>
    <mergeCell ref="JJ3:JM3"/>
    <mergeCell ref="JB3:JE3"/>
    <mergeCell ref="RX3:SA3"/>
    <mergeCell ref="KP3:KS3"/>
    <mergeCell ref="KP5:KS5"/>
    <mergeCell ref="OM3:OP3"/>
    <mergeCell ref="OQ3:OT3"/>
    <mergeCell ref="OU3:OX3"/>
    <mergeCell ref="OY3:PB3"/>
    <mergeCell ref="PC3:PF3"/>
    <mergeCell ref="PG3:PJ3"/>
    <mergeCell ref="PK3:PN3"/>
    <mergeCell ref="LC5:LF5"/>
    <mergeCell ref="LG5:LJ5"/>
    <mergeCell ref="LK5:LN5"/>
    <mergeCell ref="LO5:LR5"/>
    <mergeCell ref="LS5:LV5"/>
    <mergeCell ref="LW5:LZ5"/>
    <mergeCell ref="MA5:MD5"/>
    <mergeCell ref="OI3:OL3"/>
    <mergeCell ref="ME5:MH5"/>
    <mergeCell ref="MI5:ML5"/>
    <mergeCell ref="MM5:MP5"/>
    <mergeCell ref="MQ5:MT5"/>
    <mergeCell ref="MU5:MX5"/>
    <mergeCell ref="MY5:NB5"/>
    <mergeCell ref="RL6:RO26"/>
    <mergeCell ref="QR3:QU3"/>
    <mergeCell ref="QV3:QY3"/>
    <mergeCell ref="QZ3:RC3"/>
    <mergeCell ref="RD3:RG3"/>
    <mergeCell ref="RH3:RK3"/>
    <mergeCell ref="RL3:RO3"/>
    <mergeCell ref="RP3:RS3"/>
    <mergeCell ref="RT3:RW3"/>
    <mergeCell ref="RX5:SA5"/>
    <mergeCell ref="QR5:QU5"/>
    <mergeCell ref="QV5:QY5"/>
    <mergeCell ref="QZ5:RC5"/>
    <mergeCell ref="RD5:RG5"/>
    <mergeCell ref="RH5:RK5"/>
    <mergeCell ref="RL5:RO5"/>
    <mergeCell ref="RP5:RS5"/>
    <mergeCell ref="RT5:RW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Replication Status</vt:lpstr>
      <vt:lpstr>Used Space Growth</vt:lpstr>
      <vt:lpstr>DB 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Premanand S</dc:creator>
  <cp:keywords/>
  <dc:description/>
  <cp:lastModifiedBy>Shankar K IT-SW</cp:lastModifiedBy>
  <cp:revision/>
  <dcterms:created xsi:type="dcterms:W3CDTF">2026-04-21T11:41:16Z</dcterms:created>
  <dcterms:modified xsi:type="dcterms:W3CDTF">2026-09-17T09:23:38Z</dcterms:modified>
  <cp:category/>
  <cp:contentStatus/>
</cp:coreProperties>
</file>